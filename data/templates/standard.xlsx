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to02\日紘建装　株式会社 Dropbox\伊藤隆一\住林HT\①横浜北営業所\吉田さん\住吉屋栄子様邸\"/>
    </mc:Choice>
  </mc:AlternateContent>
  <xr:revisionPtr revIDLastSave="0" documentId="13_ncr:1_{D3584D2C-E092-466B-8EC1-22C5CB39391F}" xr6:coauthVersionLast="47" xr6:coauthVersionMax="47" xr10:uidLastSave="{00000000-0000-0000-0000-000000000000}"/>
  <bookViews>
    <workbookView xWindow="-120" yWindow="-120" windowWidth="20730" windowHeight="11160" tabRatio="759" activeTab="2" xr2:uid="{00000000-000D-0000-FFFF-FFFF00000000}"/>
  </bookViews>
  <sheets>
    <sheet name="工事概要" sheetId="5" r:id="rId1"/>
    <sheet name="見積書" sheetId="1" r:id="rId2"/>
    <sheet name="内訳" sheetId="3" r:id="rId3"/>
    <sheet name="請求書" sheetId="4" r:id="rId4"/>
    <sheet name="指示書" sheetId="7" r:id="rId5"/>
    <sheet name="予算管理" sheetId="6" r:id="rId6"/>
  </sheets>
  <definedNames>
    <definedName name="_xlnm.Print_Area" localSheetId="0">工事概要!$A$1:$I$28</definedName>
    <definedName name="_xlnm.Print_Area" localSheetId="4">指示書!$A$1:$G$38</definedName>
    <definedName name="_xlnm.Print_Titles" localSheetId="2">内訳!$1:$1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1" l="1"/>
  <c r="G42" i="3"/>
  <c r="G40" i="3"/>
  <c r="G38" i="3"/>
  <c r="G39" i="3"/>
  <c r="G37" i="3"/>
  <c r="G35" i="3"/>
  <c r="G11" i="3"/>
  <c r="K29" i="6"/>
  <c r="J29" i="6"/>
  <c r="I29" i="6"/>
  <c r="H29" i="6"/>
  <c r="G29" i="6"/>
  <c r="F29" i="6"/>
  <c r="C29" i="6"/>
  <c r="H1" i="5" l="1"/>
  <c r="B38" i="7" s="1"/>
  <c r="H10" i="5"/>
  <c r="E10" i="5"/>
  <c r="B5" i="5" s="1"/>
  <c r="B10" i="5"/>
  <c r="E8" i="5"/>
  <c r="B29" i="7" s="1"/>
  <c r="B8" i="5"/>
  <c r="A4" i="4" s="1"/>
  <c r="F3" i="5"/>
  <c r="C5" i="7" s="1"/>
  <c r="B3" i="5"/>
  <c r="C4" i="7" s="1"/>
  <c r="G2" i="3"/>
  <c r="G3" i="3"/>
  <c r="G4" i="3"/>
  <c r="G5" i="3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D5" i="6"/>
  <c r="D6" i="6"/>
  <c r="E6" i="6" s="1"/>
  <c r="D7" i="6"/>
  <c r="E7" i="6" s="1"/>
  <c r="D8" i="6"/>
  <c r="E8" i="6" s="1"/>
  <c r="D9" i="6"/>
  <c r="E9" i="6" s="1"/>
  <c r="D10" i="6"/>
  <c r="E10" i="6" s="1"/>
  <c r="C11" i="6"/>
  <c r="D12" i="6"/>
  <c r="E12" i="6" s="1"/>
  <c r="D13" i="6"/>
  <c r="E13" i="6" s="1"/>
  <c r="D14" i="6"/>
  <c r="E14" i="6" s="1"/>
  <c r="D15" i="6"/>
  <c r="E15" i="6" s="1"/>
  <c r="D16" i="6"/>
  <c r="E16" i="6" s="1"/>
  <c r="C17" i="6"/>
  <c r="D18" i="6"/>
  <c r="E18" i="6" s="1"/>
  <c r="D19" i="6"/>
  <c r="E19" i="6" s="1"/>
  <c r="D20" i="6"/>
  <c r="E20" i="6" s="1"/>
  <c r="D21" i="6"/>
  <c r="E21" i="6" s="1"/>
  <c r="D22" i="6"/>
  <c r="D23" i="6"/>
  <c r="E23" i="6" s="1"/>
  <c r="D24" i="6"/>
  <c r="E24" i="6" s="1"/>
  <c r="D26" i="6"/>
  <c r="D29" i="6" s="1"/>
  <c r="E26" i="6"/>
  <c r="E29" i="6" s="1"/>
  <c r="D27" i="6"/>
  <c r="E27" i="6" s="1"/>
  <c r="D28" i="6"/>
  <c r="E28" i="6" s="1"/>
  <c r="G11" i="4"/>
  <c r="G12" i="4"/>
  <c r="D33" i="6"/>
  <c r="C25" i="6"/>
  <c r="C6" i="7"/>
  <c r="C7" i="7"/>
  <c r="B12" i="7"/>
  <c r="D12" i="7"/>
  <c r="E12" i="7"/>
  <c r="F12" i="7"/>
  <c r="B13" i="7"/>
  <c r="D13" i="7"/>
  <c r="E13" i="7"/>
  <c r="F13" i="7"/>
  <c r="B14" i="7"/>
  <c r="D14" i="7"/>
  <c r="E14" i="7"/>
  <c r="F14" i="7"/>
  <c r="B15" i="7"/>
  <c r="D15" i="7"/>
  <c r="E15" i="7"/>
  <c r="F15" i="7"/>
  <c r="B16" i="7"/>
  <c r="D16" i="7"/>
  <c r="E16" i="7"/>
  <c r="F16" i="7"/>
  <c r="B17" i="7"/>
  <c r="D17" i="7"/>
  <c r="E17" i="7"/>
  <c r="F17" i="7"/>
  <c r="B18" i="7"/>
  <c r="D18" i="7"/>
  <c r="E18" i="7"/>
  <c r="F18" i="7"/>
  <c r="B19" i="7"/>
  <c r="D19" i="7"/>
  <c r="E19" i="7"/>
  <c r="F19" i="7"/>
  <c r="F11" i="6"/>
  <c r="G11" i="6"/>
  <c r="H11" i="6"/>
  <c r="I11" i="6"/>
  <c r="J11" i="6"/>
  <c r="K11" i="6"/>
  <c r="F17" i="6"/>
  <c r="G17" i="6"/>
  <c r="H17" i="6"/>
  <c r="I17" i="6"/>
  <c r="J17" i="6"/>
  <c r="K17" i="6"/>
  <c r="F25" i="6"/>
  <c r="G25" i="6"/>
  <c r="H25" i="6"/>
  <c r="I25" i="6"/>
  <c r="J25" i="6"/>
  <c r="K25" i="6"/>
  <c r="A2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B1" i="5"/>
  <c r="H4" i="4" l="1"/>
  <c r="H7" i="4"/>
  <c r="K30" i="6"/>
  <c r="H30" i="6"/>
  <c r="G13" i="4"/>
  <c r="B4" i="5"/>
  <c r="H1" i="6" s="1"/>
  <c r="C24" i="7"/>
  <c r="J30" i="6"/>
  <c r="J34" i="6" s="1"/>
  <c r="J35" i="6" s="1"/>
  <c r="I30" i="6"/>
  <c r="I34" i="6" s="1"/>
  <c r="I35" i="6" s="1"/>
  <c r="D17" i="6"/>
  <c r="E5" i="6"/>
  <c r="C30" i="6"/>
  <c r="C34" i="6" s="1"/>
  <c r="F30" i="6"/>
  <c r="G30" i="6"/>
  <c r="G34" i="6" s="1"/>
  <c r="G35" i="6" s="1"/>
  <c r="F34" i="6"/>
  <c r="F35" i="6" s="1"/>
  <c r="D11" i="6"/>
  <c r="E11" i="6" s="1"/>
  <c r="H5" i="4"/>
  <c r="B1" i="6"/>
  <c r="D20" i="7"/>
  <c r="H34" i="6"/>
  <c r="H35" i="6" s="1"/>
  <c r="K34" i="6"/>
  <c r="K35" i="6" s="1"/>
  <c r="G14" i="4"/>
  <c r="G15" i="4" s="1"/>
  <c r="D25" i="6"/>
  <c r="E17" i="6"/>
  <c r="H8" i="4"/>
  <c r="F4" i="6"/>
  <c r="C22" i="7"/>
  <c r="E22" i="6"/>
  <c r="D30" i="6" l="1"/>
  <c r="D34" i="6" s="1"/>
  <c r="D35" i="6" s="1"/>
  <c r="D36" i="6" s="1"/>
  <c r="G19" i="1"/>
  <c r="G20" i="1" s="1"/>
  <c r="G19" i="4"/>
  <c r="G20" i="4" s="1"/>
  <c r="G4" i="6"/>
  <c r="F32" i="6"/>
  <c r="E25" i="6"/>
  <c r="E30" i="6" s="1"/>
  <c r="E34" i="6" l="1"/>
  <c r="G21" i="1"/>
  <c r="B7" i="1" s="1"/>
  <c r="B9" i="5" s="1"/>
  <c r="G32" i="6"/>
  <c r="H4" i="6"/>
  <c r="G21" i="4"/>
  <c r="B7" i="4" l="1"/>
  <c r="H9" i="5" s="1"/>
  <c r="I4" i="6"/>
  <c r="H32" i="6"/>
  <c r="I32" i="6" l="1"/>
  <c r="J4" i="6"/>
  <c r="C35" i="6"/>
  <c r="C36" i="6" s="1"/>
  <c r="E33" i="6"/>
  <c r="E35" i="6" s="1"/>
  <c r="J32" i="6" l="1"/>
  <c r="K4" i="6"/>
  <c r="K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神塚 弘文</author>
  </authors>
  <commentList>
    <comment ref="H10" authorId="0" shapeId="0" xr:uid="{00000000-0006-0000-0000-000001000000}">
      <text>
        <r>
          <rPr>
            <b/>
            <sz val="10"/>
            <color indexed="81"/>
            <rFont val="ＭＳ Ｐ明朝"/>
            <family val="1"/>
            <charset val="128"/>
          </rPr>
          <t>日付を入力する欄は、
半角英数文字で、例えば「6/24」とタイプして下さい。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Hirofumi Kamitsuka</author>
  </authors>
  <commentList>
    <comment ref="H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日付を
2024/○○/○○
と入力</t>
        </r>
      </text>
    </comment>
    <comment ref="A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会社名を入力</t>
        </r>
      </text>
    </comment>
    <comment ref="H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住所・
工事件名・
施工日を入力</t>
        </r>
      </text>
    </comment>
    <comment ref="B5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氏名のみ入力</t>
        </r>
      </text>
    </comment>
    <comment ref="D20" authorId="1" shapeId="0" xr:uid="{0ED5F5E3-4526-423E-98CF-706E779A4D74}">
      <text>
        <r>
          <rPr>
            <b/>
            <sz val="9"/>
            <color indexed="81"/>
            <rFont val="MS P ゴシック"/>
            <family val="3"/>
            <charset val="128"/>
          </rPr>
          <t>税率を入力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Hirofumi Kamitsuka</author>
  </authors>
  <commentList>
    <comment ref="H1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日付を
20243/○○/○○
と入力</t>
        </r>
      </text>
    </comment>
    <comment ref="D20" authorId="1" shapeId="0" xr:uid="{DD23C5DA-EC47-444E-885F-22E471446E4E}">
      <text>
        <r>
          <rPr>
            <b/>
            <sz val="9"/>
            <color indexed="81"/>
            <rFont val="MS P ゴシック"/>
            <family val="3"/>
            <charset val="128"/>
          </rPr>
          <t>税率を入力</t>
        </r>
      </text>
    </comment>
    <comment ref="B23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銀行番号：0009</t>
        </r>
      </text>
    </comment>
    <comment ref="C23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店番号：597</t>
        </r>
      </text>
    </comment>
    <comment ref="B24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銀行番号：0001</t>
        </r>
      </text>
    </comment>
    <comment ref="C2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店番号：613</t>
        </r>
      </text>
    </comment>
    <comment ref="B25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銀行番号：0138</t>
        </r>
      </text>
    </comment>
    <comment ref="C25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店番：917</t>
        </r>
      </text>
    </comment>
  </commentList>
</comments>
</file>

<file path=xl/sharedStrings.xml><?xml version="1.0" encoding="utf-8"?>
<sst xmlns="http://schemas.openxmlformats.org/spreadsheetml/2006/main" count="273" uniqueCount="210">
  <si>
    <t>単位</t>
    <rPh sb="0" eb="2">
      <t>タンイ</t>
    </rPh>
    <phoneticPr fontId="2"/>
  </si>
  <si>
    <t>御見積金額</t>
    <rPh sb="0" eb="3">
      <t>オミツモリ</t>
    </rPh>
    <rPh sb="3" eb="5">
      <t>キンガク</t>
    </rPh>
    <phoneticPr fontId="2"/>
  </si>
  <si>
    <t>摘　　　要</t>
    <rPh sb="0" eb="1">
      <t>チャク</t>
    </rPh>
    <rPh sb="4" eb="5">
      <t>ヨウ</t>
    </rPh>
    <phoneticPr fontId="2"/>
  </si>
  <si>
    <t>金　　額</t>
    <rPh sb="0" eb="1">
      <t>キン</t>
    </rPh>
    <rPh sb="3" eb="4">
      <t>ガク</t>
    </rPh>
    <phoneticPr fontId="2"/>
  </si>
  <si>
    <t>単　　価</t>
    <rPh sb="0" eb="1">
      <t>タン</t>
    </rPh>
    <rPh sb="3" eb="4">
      <t>アタイ</t>
    </rPh>
    <phoneticPr fontId="2"/>
  </si>
  <si>
    <t>数　　量</t>
    <rPh sb="0" eb="1">
      <t>カズ</t>
    </rPh>
    <rPh sb="3" eb="4">
      <t>リョウ</t>
    </rPh>
    <phoneticPr fontId="2"/>
  </si>
  <si>
    <t>仕　　　様</t>
    <rPh sb="0" eb="1">
      <t>ツカ</t>
    </rPh>
    <rPh sb="4" eb="5">
      <t>サマ</t>
    </rPh>
    <phoneticPr fontId="2"/>
  </si>
  <si>
    <t>名　　　称</t>
    <rPh sb="0" eb="1">
      <t>メイ</t>
    </rPh>
    <rPh sb="4" eb="5">
      <t>ショウ</t>
    </rPh>
    <phoneticPr fontId="2"/>
  </si>
  <si>
    <t>御　見　積　書</t>
    <rPh sb="0" eb="1">
      <t>ゴ</t>
    </rPh>
    <rPh sb="2" eb="3">
      <t>ミ</t>
    </rPh>
    <rPh sb="4" eb="5">
      <t>セキ</t>
    </rPh>
    <rPh sb="6" eb="7">
      <t>ショ</t>
    </rPh>
    <phoneticPr fontId="2"/>
  </si>
  <si>
    <t>合　　計</t>
    <rPh sb="0" eb="1">
      <t>ゴウ</t>
    </rPh>
    <rPh sb="3" eb="4">
      <t>ケイ</t>
    </rPh>
    <phoneticPr fontId="2"/>
  </si>
  <si>
    <t>諸経費</t>
    <rPh sb="0" eb="3">
      <t>ショケイヒ</t>
    </rPh>
    <phoneticPr fontId="2"/>
  </si>
  <si>
    <t>値引き</t>
    <rPh sb="0" eb="2">
      <t>ネビ</t>
    </rPh>
    <phoneticPr fontId="2"/>
  </si>
  <si>
    <t>式</t>
    <rPh sb="0" eb="1">
      <t>シキ</t>
    </rPh>
    <phoneticPr fontId="2"/>
  </si>
  <si>
    <t>請　　求　　書</t>
    <rPh sb="0" eb="1">
      <t>ショウ</t>
    </rPh>
    <rPh sb="3" eb="4">
      <t>モトム</t>
    </rPh>
    <rPh sb="6" eb="7">
      <t>ショ</t>
    </rPh>
    <phoneticPr fontId="2"/>
  </si>
  <si>
    <t>請求金額</t>
    <rPh sb="0" eb="2">
      <t>セイキュウ</t>
    </rPh>
    <rPh sb="2" eb="4">
      <t>キンガク</t>
    </rPh>
    <phoneticPr fontId="2"/>
  </si>
  <si>
    <t>工　事　計</t>
    <rPh sb="0" eb="1">
      <t>コウ</t>
    </rPh>
    <rPh sb="2" eb="3">
      <t>コト</t>
    </rPh>
    <rPh sb="4" eb="5">
      <t>ケイ</t>
    </rPh>
    <phoneticPr fontId="2"/>
  </si>
  <si>
    <t>振込先銀行</t>
    <rPh sb="0" eb="2">
      <t>フリコミ</t>
    </rPh>
    <rPh sb="2" eb="3">
      <t>サキ</t>
    </rPh>
    <rPh sb="3" eb="5">
      <t>ギンコウ</t>
    </rPh>
    <phoneticPr fontId="2"/>
  </si>
  <si>
    <t>玉川支店</t>
    <rPh sb="0" eb="2">
      <t>タマガワ</t>
    </rPh>
    <rPh sb="2" eb="4">
      <t>シテン</t>
    </rPh>
    <phoneticPr fontId="2"/>
  </si>
  <si>
    <t>当座預金</t>
    <rPh sb="0" eb="2">
      <t>トウザ</t>
    </rPh>
    <rPh sb="2" eb="4">
      <t>ヨキン</t>
    </rPh>
    <phoneticPr fontId="2"/>
  </si>
  <si>
    <t>　三井住友銀行</t>
    <rPh sb="1" eb="3">
      <t>ミツイ</t>
    </rPh>
    <rPh sb="3" eb="5">
      <t>スミトモ</t>
    </rPh>
    <rPh sb="5" eb="7">
      <t>ギンコウ</t>
    </rPh>
    <phoneticPr fontId="2"/>
  </si>
  <si>
    <t>　横浜銀行</t>
    <rPh sb="1" eb="3">
      <t>ヨコハマ</t>
    </rPh>
    <rPh sb="3" eb="5">
      <t>ギンコウ</t>
    </rPh>
    <phoneticPr fontId="2"/>
  </si>
  <si>
    <t>摘　　要</t>
    <rPh sb="0" eb="1">
      <t>チャク</t>
    </rPh>
    <rPh sb="3" eb="4">
      <t>ヨウ</t>
    </rPh>
    <phoneticPr fontId="2"/>
  </si>
  <si>
    <t>名　　称</t>
    <rPh sb="0" eb="1">
      <t>メイ</t>
    </rPh>
    <rPh sb="3" eb="4">
      <t>ショウ</t>
    </rPh>
    <phoneticPr fontId="2"/>
  </si>
  <si>
    <t>仕　　様</t>
    <rPh sb="0" eb="1">
      <t>ツカ</t>
    </rPh>
    <rPh sb="3" eb="4">
      <t>サマ</t>
    </rPh>
    <phoneticPr fontId="2"/>
  </si>
  <si>
    <t>数　量</t>
    <rPh sb="0" eb="1">
      <t>カズ</t>
    </rPh>
    <rPh sb="2" eb="3">
      <t>リョウ</t>
    </rPh>
    <phoneticPr fontId="2"/>
  </si>
  <si>
    <t>単　価</t>
    <rPh sb="0" eb="1">
      <t>タン</t>
    </rPh>
    <rPh sb="2" eb="3">
      <t>アタイ</t>
    </rPh>
    <phoneticPr fontId="2"/>
  </si>
  <si>
    <t>工 事 件 名</t>
    <rPh sb="0" eb="1">
      <t>コウ</t>
    </rPh>
    <rPh sb="2" eb="3">
      <t>コト</t>
    </rPh>
    <rPh sb="4" eb="5">
      <t>ケン</t>
    </rPh>
    <rPh sb="6" eb="7">
      <t>メイ</t>
    </rPh>
    <phoneticPr fontId="2"/>
  </si>
  <si>
    <t>施   工   日</t>
    <rPh sb="0" eb="1">
      <t>ホドコ</t>
    </rPh>
    <rPh sb="4" eb="5">
      <t>タクミ</t>
    </rPh>
    <rPh sb="8" eb="9">
      <t>ビ</t>
    </rPh>
    <phoneticPr fontId="2"/>
  </si>
  <si>
    <t>担   当   者</t>
    <rPh sb="0" eb="1">
      <t>ニナ</t>
    </rPh>
    <rPh sb="4" eb="5">
      <t>トウ</t>
    </rPh>
    <rPh sb="8" eb="9">
      <t>モノ</t>
    </rPh>
    <phoneticPr fontId="2"/>
  </si>
  <si>
    <t>受注先</t>
    <rPh sb="0" eb="2">
      <t>ジュチュウ</t>
    </rPh>
    <rPh sb="2" eb="3">
      <t>サキ</t>
    </rPh>
    <phoneticPr fontId="2"/>
  </si>
  <si>
    <t>㎡</t>
    <phoneticPr fontId="2"/>
  </si>
  <si>
    <t>№</t>
    <phoneticPr fontId="2"/>
  </si>
  <si>
    <t>５０３７９７３</t>
    <phoneticPr fontId="2"/>
  </si>
  <si>
    <t>２４９５</t>
    <phoneticPr fontId="2"/>
  </si>
  <si>
    <t>現場名</t>
    <rPh sb="0" eb="2">
      <t>ゲンバ</t>
    </rPh>
    <rPh sb="2" eb="3">
      <t>メイ</t>
    </rPh>
    <phoneticPr fontId="2"/>
  </si>
  <si>
    <t>予定工期</t>
    <rPh sb="0" eb="2">
      <t>ヨテイ</t>
    </rPh>
    <rPh sb="2" eb="4">
      <t>コウキ</t>
    </rPh>
    <phoneticPr fontId="2"/>
  </si>
  <si>
    <t>見積額</t>
    <rPh sb="0" eb="2">
      <t>ミツモリ</t>
    </rPh>
    <rPh sb="2" eb="3">
      <t>ガク</t>
    </rPh>
    <phoneticPr fontId="2"/>
  </si>
  <si>
    <t>所見</t>
    <rPh sb="0" eb="2">
      <t>ショケン</t>
    </rPh>
    <phoneticPr fontId="2"/>
  </si>
  <si>
    <t>提出先</t>
    <rPh sb="0" eb="2">
      <t>テイシュツ</t>
    </rPh>
    <rPh sb="2" eb="3">
      <t>サキ</t>
    </rPh>
    <phoneticPr fontId="2"/>
  </si>
  <si>
    <t>予算額</t>
    <rPh sb="0" eb="3">
      <t>ヨサンガク</t>
    </rPh>
    <phoneticPr fontId="2"/>
  </si>
  <si>
    <t>受注</t>
    <rPh sb="0" eb="2">
      <t>ジュチュウ</t>
    </rPh>
    <phoneticPr fontId="2"/>
  </si>
  <si>
    <t>取極額</t>
    <rPh sb="0" eb="2">
      <t>トリキ</t>
    </rPh>
    <rPh sb="2" eb="3">
      <t>ガク</t>
    </rPh>
    <phoneticPr fontId="2"/>
  </si>
  <si>
    <t>積算者</t>
    <rPh sb="0" eb="2">
      <t>セキサン</t>
    </rPh>
    <rPh sb="2" eb="3">
      <t>シャ</t>
    </rPh>
    <phoneticPr fontId="2"/>
  </si>
  <si>
    <t>起案日</t>
    <rPh sb="0" eb="2">
      <t>キアン</t>
    </rPh>
    <rPh sb="2" eb="3">
      <t>ビ</t>
    </rPh>
    <phoneticPr fontId="2"/>
  </si>
  <si>
    <t>起案者</t>
    <rPh sb="0" eb="3">
      <t>キアンシャ</t>
    </rPh>
    <phoneticPr fontId="2"/>
  </si>
  <si>
    <t>住所</t>
    <rPh sb="0" eb="2">
      <t>ジュウショ</t>
    </rPh>
    <phoneticPr fontId="2"/>
  </si>
  <si>
    <t>担当者</t>
    <rPh sb="0" eb="3">
      <t>タントウシャ</t>
    </rPh>
    <phoneticPr fontId="2"/>
  </si>
  <si>
    <t>電話番号</t>
    <rPh sb="0" eb="2">
      <t>デンワ</t>
    </rPh>
    <rPh sb="2" eb="4">
      <t>バンゴウ</t>
    </rPh>
    <phoneticPr fontId="2"/>
  </si>
  <si>
    <t>見積状況</t>
    <rPh sb="0" eb="2">
      <t>ミツモリ</t>
    </rPh>
    <rPh sb="2" eb="4">
      <t>ジョウキョウ</t>
    </rPh>
    <phoneticPr fontId="2"/>
  </si>
  <si>
    <t>付記事項</t>
    <rPh sb="0" eb="2">
      <t>フキ</t>
    </rPh>
    <rPh sb="2" eb="4">
      <t>ジコウ</t>
    </rPh>
    <phoneticPr fontId="2"/>
  </si>
  <si>
    <t>決裁</t>
    <rPh sb="0" eb="2">
      <t>ケッサイ</t>
    </rPh>
    <phoneticPr fontId="2"/>
  </si>
  <si>
    <t>決定</t>
    <rPh sb="0" eb="2">
      <t>ケッテイ</t>
    </rPh>
    <phoneticPr fontId="2"/>
  </si>
  <si>
    <t>取止</t>
    <rPh sb="0" eb="2">
      <t>トリヤ</t>
    </rPh>
    <phoneticPr fontId="2"/>
  </si>
  <si>
    <t>見積日</t>
    <rPh sb="0" eb="2">
      <t>ミツモリ</t>
    </rPh>
    <rPh sb="2" eb="3">
      <t>ビ</t>
    </rPh>
    <phoneticPr fontId="2"/>
  </si>
  <si>
    <t>請求日</t>
    <rPh sb="0" eb="2">
      <t>セイキュウ</t>
    </rPh>
    <rPh sb="2" eb="3">
      <t>ビ</t>
    </rPh>
    <phoneticPr fontId="2"/>
  </si>
  <si>
    <t>施工日</t>
    <rPh sb="0" eb="2">
      <t>セコウ</t>
    </rPh>
    <rPh sb="2" eb="3">
      <t>ビ</t>
    </rPh>
    <phoneticPr fontId="2"/>
  </si>
  <si>
    <t>設計</t>
    <rPh sb="0" eb="2">
      <t>セッケイ</t>
    </rPh>
    <phoneticPr fontId="2"/>
  </si>
  <si>
    <t>実測</t>
    <rPh sb="0" eb="2">
      <t>ジッソク</t>
    </rPh>
    <phoneticPr fontId="2"/>
  </si>
  <si>
    <t>図面</t>
    <rPh sb="0" eb="2">
      <t>ズメン</t>
    </rPh>
    <phoneticPr fontId="2"/>
  </si>
  <si>
    <t>内訳</t>
    <rPh sb="0" eb="2">
      <t>ウチワケ</t>
    </rPh>
    <phoneticPr fontId="2"/>
  </si>
  <si>
    <t>住　　　   所</t>
    <rPh sb="0" eb="1">
      <t>ジュウ</t>
    </rPh>
    <rPh sb="7" eb="8">
      <t>ショ</t>
    </rPh>
    <phoneticPr fontId="2"/>
  </si>
  <si>
    <r>
      <t>御中</t>
    </r>
    <r>
      <rPr>
        <sz val="14"/>
        <rFont val="ＭＳ Ｐ明朝"/>
        <family val="1"/>
        <charset val="128"/>
      </rPr>
      <t/>
    </r>
    <rPh sb="0" eb="2">
      <t>オンチュウ</t>
    </rPh>
    <phoneticPr fontId="2"/>
  </si>
  <si>
    <t>御中</t>
    <rPh sb="0" eb="2">
      <t>オンチュウ</t>
    </rPh>
    <phoneticPr fontId="2"/>
  </si>
  <si>
    <t>～</t>
    <phoneticPr fontId="2"/>
  </si>
  <si>
    <t>得意先</t>
  </si>
  <si>
    <t>工事種目</t>
    <rPh sb="0" eb="2">
      <t>コウジ</t>
    </rPh>
    <rPh sb="2" eb="4">
      <t>シュモク</t>
    </rPh>
    <phoneticPr fontId="2"/>
  </si>
  <si>
    <t>施工班</t>
  </si>
  <si>
    <t>実行予算</t>
  </si>
  <si>
    <t>支払合計</t>
  </si>
  <si>
    <t>実行予算残額</t>
  </si>
  <si>
    <t>塗装工事</t>
    <rPh sb="0" eb="1">
      <t>ト</t>
    </rPh>
    <rPh sb="1" eb="2">
      <t>ソウ</t>
    </rPh>
    <rPh sb="2" eb="4">
      <t>コウジ</t>
    </rPh>
    <phoneticPr fontId="2"/>
  </si>
  <si>
    <t>材料　　</t>
    <rPh sb="0" eb="2">
      <t>ザイリョウ</t>
    </rPh>
    <phoneticPr fontId="2"/>
  </si>
  <si>
    <t>三興塗料　　</t>
    <phoneticPr fontId="2"/>
  </si>
  <si>
    <t>　</t>
  </si>
  <si>
    <t>材料費　計</t>
    <rPh sb="0" eb="2">
      <t>ザイリョウ</t>
    </rPh>
    <rPh sb="2" eb="3">
      <t>ヒ</t>
    </rPh>
    <rPh sb="4" eb="5">
      <t>ケイ</t>
    </rPh>
    <phoneticPr fontId="2"/>
  </si>
  <si>
    <t>支払合計</t>
    <rPh sb="0" eb="2">
      <t>シハラ</t>
    </rPh>
    <rPh sb="2" eb="4">
      <t>ゴウケイ</t>
    </rPh>
    <phoneticPr fontId="2"/>
  </si>
  <si>
    <t>請求内訳</t>
  </si>
  <si>
    <t>取極額/予算</t>
  </si>
  <si>
    <t>出来高請求額</t>
  </si>
  <si>
    <t>繰越請求額</t>
  </si>
  <si>
    <t>請求額</t>
  </si>
  <si>
    <t>支払額</t>
  </si>
  <si>
    <t>粗利益</t>
  </si>
  <si>
    <t>利益比率</t>
  </si>
  <si>
    <t>三和塗料　</t>
    <phoneticPr fontId="2"/>
  </si>
  <si>
    <t>東海塗料興業</t>
    <phoneticPr fontId="2"/>
  </si>
  <si>
    <t>見積経緯</t>
    <rPh sb="0" eb="2">
      <t>ミツモリ</t>
    </rPh>
    <rPh sb="2" eb="4">
      <t>ケイイ</t>
    </rPh>
    <phoneticPr fontId="2"/>
  </si>
  <si>
    <t>経堂支店</t>
    <rPh sb="0" eb="2">
      <t>キョウドウ</t>
    </rPh>
    <rPh sb="2" eb="4">
      <t>シテン</t>
    </rPh>
    <phoneticPr fontId="2"/>
  </si>
  <si>
    <t>壁　PB面</t>
    <rPh sb="0" eb="1">
      <t>カベ</t>
    </rPh>
    <rPh sb="4" eb="5">
      <t>メン</t>
    </rPh>
    <phoneticPr fontId="2"/>
  </si>
  <si>
    <t>　みずほ銀行</t>
    <rPh sb="4" eb="6">
      <t>ギンコウ</t>
    </rPh>
    <phoneticPr fontId="2"/>
  </si>
  <si>
    <t>№</t>
    <phoneticPr fontId="2"/>
  </si>
  <si>
    <t>４４７７</t>
    <phoneticPr fontId="2"/>
  </si>
  <si>
    <t>施 工 指 示 書</t>
  </si>
  <si>
    <t>平成　　　年　　　月　　　日</t>
  </si>
  <si>
    <t>様</t>
  </si>
  <si>
    <t>ご記入の上、ご返信ください。</t>
  </si>
  <si>
    <t>現 場 名</t>
  </si>
  <si>
    <t>現場住所</t>
  </si>
  <si>
    <t>現 場 ℡</t>
  </si>
  <si>
    <t>現場案内図の添付をお願い致します。</t>
  </si>
  <si>
    <t>設計社名</t>
  </si>
  <si>
    <t>現場見本</t>
  </si>
  <si>
    <t>○を付けて下さい</t>
  </si>
  <si>
    <t>サンプル№</t>
  </si>
  <si>
    <t>設計社に見本が提出されていますので、必ず現場にご持参ください。</t>
  </si>
  <si>
    <t>数量内訳</t>
  </si>
  <si>
    <t>施工場所</t>
  </si>
  <si>
    <t>下地材</t>
  </si>
  <si>
    <t>数量</t>
  </si>
  <si>
    <t>単位</t>
  </si>
  <si>
    <t>商品名・仕上げ・色番号</t>
  </si>
  <si>
    <t>天井高       ｍ</t>
  </si>
  <si>
    <t>合　計</t>
  </si>
  <si>
    <t>㎡</t>
  </si>
  <si>
    <t>施工予定日</t>
  </si>
  <si>
    <t>御社支払条件</t>
  </si>
  <si>
    <t>請求　　　　　日締　　　　　日払（内訳　　　　　　　　　　　　　）</t>
  </si>
  <si>
    <t>御 社 名</t>
  </si>
  <si>
    <t>（元請　　　　　　　　　　　　　　）</t>
  </si>
  <si>
    <t>ご 住 所</t>
  </si>
  <si>
    <t>（〒　　　-　　　　）</t>
  </si>
  <si>
    <t>ＴＥＬ</t>
  </si>
  <si>
    <t>ＦＡＸ</t>
  </si>
  <si>
    <t>ご担当者名(携帯番号)</t>
  </si>
  <si>
    <t>現場ご担当者名(携帯番号)</t>
  </si>
  <si>
    <t>安全用具　1.必要なものに○を付けて下さい　ヘルメット・安全帯・安全靴・長袖・上履き　2. 不要</t>
  </si>
  <si>
    <t>新規入場
朝礼・待合せ　　　時　　　分 場所</t>
  </si>
  <si>
    <t>〒157-0074</t>
  </si>
  <si>
    <t>【備考】</t>
  </si>
  <si>
    <t>東京都世田谷区大蔵６－１－３</t>
  </si>
  <si>
    <t>FAX ０３（３４１６）１０６５</t>
  </si>
  <si>
    <t>【当社担当者】</t>
  </si>
  <si>
    <t>(小　計）</t>
    <rPh sb="1" eb="2">
      <t>ショウ</t>
    </rPh>
    <rPh sb="3" eb="4">
      <t>ケイ</t>
    </rPh>
    <phoneticPr fontId="2"/>
  </si>
  <si>
    <t>月別売上額</t>
    <rPh sb="0" eb="2">
      <t>ツキベツ</t>
    </rPh>
    <rPh sb="2" eb="4">
      <t>ウリアゲ</t>
    </rPh>
    <rPh sb="4" eb="5">
      <t>ガク</t>
    </rPh>
    <phoneticPr fontId="2"/>
  </si>
  <si>
    <t>月別支払額</t>
    <rPh sb="0" eb="2">
      <t>ツキベツ</t>
    </rPh>
    <rPh sb="2" eb="4">
      <t>シハライ</t>
    </rPh>
    <rPh sb="4" eb="5">
      <t>ガク</t>
    </rPh>
    <phoneticPr fontId="2"/>
  </si>
  <si>
    <t xml:space="preserve"> 　年　　月　　日（　　　日間）</t>
    <phoneticPr fontId="2"/>
  </si>
  <si>
    <t>社　　長</t>
    <rPh sb="0" eb="1">
      <t>シャ</t>
    </rPh>
    <rPh sb="3" eb="4">
      <t>チョウ</t>
    </rPh>
    <phoneticPr fontId="2"/>
  </si>
  <si>
    <t>田　　子</t>
    <rPh sb="0" eb="1">
      <t>タ</t>
    </rPh>
    <rPh sb="3" eb="4">
      <t>コ</t>
    </rPh>
    <phoneticPr fontId="2"/>
  </si>
  <si>
    <t>神　　塚</t>
    <rPh sb="0" eb="1">
      <t>カミ</t>
    </rPh>
    <rPh sb="3" eb="4">
      <t>ツカ</t>
    </rPh>
    <phoneticPr fontId="2"/>
  </si>
  <si>
    <t>TEL ０３（３４１７）１３４１</t>
    <phoneticPr fontId="2"/>
  </si>
  <si>
    <t>工事件名</t>
    <rPh sb="0" eb="2">
      <t>コウジ</t>
    </rPh>
    <rPh sb="2" eb="4">
      <t>ケンメイ</t>
    </rPh>
    <phoneticPr fontId="2"/>
  </si>
  <si>
    <t>← 色付きの部分は見積書・請求書の該当する部分に入力してください。
　　ここで入力しても、見積書や請求書には反映されません。</t>
    <rPh sb="2" eb="4">
      <t>イロツ</t>
    </rPh>
    <rPh sb="6" eb="8">
      <t>ブブン</t>
    </rPh>
    <rPh sb="9" eb="12">
      <t>ミツモリショ</t>
    </rPh>
    <rPh sb="13" eb="16">
      <t>セイキュウショ</t>
    </rPh>
    <rPh sb="17" eb="19">
      <t>ガイトウ</t>
    </rPh>
    <rPh sb="21" eb="23">
      <t>ブブン</t>
    </rPh>
    <rPh sb="24" eb="26">
      <t>ニュウリョク</t>
    </rPh>
    <rPh sb="40" eb="42">
      <t>ニュウリョク</t>
    </rPh>
    <rPh sb="46" eb="49">
      <t>ミツモリショ</t>
    </rPh>
    <rPh sb="50" eb="53">
      <t>セイキュウショ</t>
    </rPh>
    <rPh sb="55" eb="57">
      <t>ハンエイ</t>
    </rPh>
    <phoneticPr fontId="2"/>
  </si>
  <si>
    <t>船　　隈</t>
    <rPh sb="0" eb="1">
      <t>フネ</t>
    </rPh>
    <rPh sb="3" eb="4">
      <t>クマ</t>
    </rPh>
    <phoneticPr fontId="2"/>
  </si>
  <si>
    <t>和　　田</t>
    <rPh sb="0" eb="1">
      <t>ワ</t>
    </rPh>
    <rPh sb="3" eb="4">
      <t>タ</t>
    </rPh>
    <phoneticPr fontId="2"/>
  </si>
  <si>
    <t>引合日</t>
    <rPh sb="0" eb="2">
      <t>ヒキアイ</t>
    </rPh>
    <rPh sb="2" eb="3">
      <t>ビ</t>
    </rPh>
    <phoneticPr fontId="2"/>
  </si>
  <si>
    <t>伊　　藤</t>
    <rPh sb="0" eb="1">
      <t>イ</t>
    </rPh>
    <rPh sb="3" eb="4">
      <t>トウ</t>
    </rPh>
    <phoneticPr fontId="2"/>
  </si>
  <si>
    <t>労務費　計</t>
    <rPh sb="0" eb="2">
      <t>ロウム</t>
    </rPh>
    <rPh sb="2" eb="3">
      <t>ヒ</t>
    </rPh>
    <rPh sb="4" eb="5">
      <t>ケイ</t>
    </rPh>
    <phoneticPr fontId="2"/>
  </si>
  <si>
    <t>外注費　計</t>
    <rPh sb="0" eb="2">
      <t>ガイチュウ</t>
    </rPh>
    <rPh sb="2" eb="3">
      <t>ヒ</t>
    </rPh>
    <rPh sb="4" eb="5">
      <t>ケイ</t>
    </rPh>
    <phoneticPr fontId="2"/>
  </si>
  <si>
    <r>
      <t>鈴　木</t>
    </r>
    <r>
      <rPr>
        <sz val="8"/>
        <rFont val="BIZ UDPゴシック"/>
        <family val="3"/>
        <charset val="128"/>
      </rPr>
      <t>　逸</t>
    </r>
    <rPh sb="0" eb="1">
      <t>スズ</t>
    </rPh>
    <rPh sb="2" eb="3">
      <t>キ</t>
    </rPh>
    <rPh sb="4" eb="5">
      <t>スグル</t>
    </rPh>
    <phoneticPr fontId="2"/>
  </si>
  <si>
    <t>その他</t>
    <rPh sb="2" eb="3">
      <t>タ</t>
    </rPh>
    <phoneticPr fontId="2"/>
  </si>
  <si>
    <t>その他　計</t>
    <rPh sb="2" eb="3">
      <t>タ</t>
    </rPh>
    <rPh sb="4" eb="5">
      <t>ケイ</t>
    </rPh>
    <phoneticPr fontId="2"/>
  </si>
  <si>
    <t>(有・無)</t>
    <phoneticPr fontId="2"/>
  </si>
  <si>
    <t>消費税</t>
    <rPh sb="0" eb="3">
      <t>ショウヒゼイ</t>
    </rPh>
    <phoneticPr fontId="2"/>
  </si>
  <si>
    <t>％</t>
    <phoneticPr fontId="2"/>
  </si>
  <si>
    <t>　</t>
    <phoneticPr fontId="2"/>
  </si>
  <si>
    <t>伊藤　隆一</t>
    <rPh sb="0" eb="2">
      <t>イトウ</t>
    </rPh>
    <rPh sb="3" eb="5">
      <t>リュウイチ</t>
    </rPh>
    <phoneticPr fontId="2"/>
  </si>
  <si>
    <r>
      <t>鴻　上</t>
    </r>
    <r>
      <rPr>
        <sz val="8"/>
        <rFont val="BIZ UDPゴシック"/>
        <family val="3"/>
        <charset val="128"/>
      </rPr>
      <t>　真</t>
    </r>
    <rPh sb="0" eb="1">
      <t>コウ</t>
    </rPh>
    <rPh sb="2" eb="3">
      <t>ジョウ</t>
    </rPh>
    <rPh sb="4" eb="5">
      <t>シン</t>
    </rPh>
    <phoneticPr fontId="2"/>
  </si>
  <si>
    <t>建設業許可　東京都知事（特-7）第20865号</t>
    <rPh sb="0" eb="3">
      <t>ケンセツギョウ</t>
    </rPh>
    <rPh sb="3" eb="5">
      <t>キョカ</t>
    </rPh>
    <rPh sb="6" eb="9">
      <t>トウキョウト</t>
    </rPh>
    <rPh sb="9" eb="11">
      <t>チジ</t>
    </rPh>
    <rPh sb="12" eb="13">
      <t>トク</t>
    </rPh>
    <rPh sb="16" eb="17">
      <t>ダイ</t>
    </rPh>
    <rPh sb="22" eb="23">
      <t>ゴウ</t>
    </rPh>
    <phoneticPr fontId="2"/>
  </si>
  <si>
    <t>仮設工事</t>
    <rPh sb="0" eb="2">
      <t>カセツ</t>
    </rPh>
    <rPh sb="2" eb="4">
      <t>コウジ</t>
    </rPh>
    <phoneticPr fontId="2"/>
  </si>
  <si>
    <t>外部足場</t>
    <rPh sb="0" eb="4">
      <t>ガイブアシバ</t>
    </rPh>
    <phoneticPr fontId="2"/>
  </si>
  <si>
    <t>くさび緊結式足場本足場　　　　　　　手摺２段</t>
    <rPh sb="3" eb="11">
      <t>キンケツシキアシバホンアシバ</t>
    </rPh>
    <rPh sb="18" eb="20">
      <t>テスリ</t>
    </rPh>
    <rPh sb="21" eb="22">
      <t>ダン</t>
    </rPh>
    <phoneticPr fontId="2"/>
  </si>
  <si>
    <t>屋根足場</t>
    <rPh sb="0" eb="2">
      <t>ヤネ</t>
    </rPh>
    <rPh sb="2" eb="4">
      <t>アシバ</t>
    </rPh>
    <phoneticPr fontId="2"/>
  </si>
  <si>
    <t>６寸</t>
    <rPh sb="1" eb="2">
      <t>スン</t>
    </rPh>
    <phoneticPr fontId="2"/>
  </si>
  <si>
    <t>昇降設備</t>
    <rPh sb="0" eb="4">
      <t>ショウコウセツビ</t>
    </rPh>
    <phoneticPr fontId="2"/>
  </si>
  <si>
    <t>運搬費</t>
    <rPh sb="0" eb="3">
      <t>ウンパンヒ</t>
    </rPh>
    <phoneticPr fontId="2"/>
  </si>
  <si>
    <t>場内小運搬込み</t>
    <rPh sb="0" eb="2">
      <t>ジョウナイ</t>
    </rPh>
    <rPh sb="2" eb="6">
      <t>コウンパンコ</t>
    </rPh>
    <phoneticPr fontId="2"/>
  </si>
  <si>
    <t>道路使用許可申請費</t>
    <rPh sb="0" eb="9">
      <t>ドウロシヨウキョカシンセイヒ</t>
    </rPh>
    <phoneticPr fontId="2"/>
  </si>
  <si>
    <t>ガードマン</t>
    <phoneticPr fontId="2"/>
  </si>
  <si>
    <t>架け２名・払い2名</t>
    <rPh sb="0" eb="1">
      <t>カ</t>
    </rPh>
    <rPh sb="3" eb="4">
      <t>メイ</t>
    </rPh>
    <phoneticPr fontId="2"/>
  </si>
  <si>
    <t>人</t>
    <rPh sb="0" eb="1">
      <t>ニン</t>
    </rPh>
    <phoneticPr fontId="2"/>
  </si>
  <si>
    <t>カーポート屋根脱着　　　　　　　　　　バルコニー屋根脱着</t>
    <rPh sb="5" eb="9">
      <t>ヤネダッチャク</t>
    </rPh>
    <rPh sb="24" eb="26">
      <t>ヤネ</t>
    </rPh>
    <rPh sb="26" eb="28">
      <t>ダッチャク</t>
    </rPh>
    <phoneticPr fontId="2"/>
  </si>
  <si>
    <t>箇所</t>
    <rPh sb="0" eb="2">
      <t>カショ</t>
    </rPh>
    <phoneticPr fontId="2"/>
  </si>
  <si>
    <t>防護管設置費用</t>
    <rPh sb="0" eb="3">
      <t>ボウゴカン</t>
    </rPh>
    <rPh sb="3" eb="7">
      <t>セッチヒヨウ</t>
    </rPh>
    <phoneticPr fontId="2"/>
  </si>
  <si>
    <t>小計</t>
    <rPh sb="0" eb="2">
      <t>ショウケイ</t>
    </rPh>
    <phoneticPr fontId="2"/>
  </si>
  <si>
    <t>塗装工事</t>
    <rPh sb="0" eb="2">
      <t>トソウ</t>
    </rPh>
    <rPh sb="2" eb="4">
      <t>コウジ</t>
    </rPh>
    <phoneticPr fontId="2"/>
  </si>
  <si>
    <t>屋根高圧洗浄</t>
    <rPh sb="0" eb="2">
      <t>ヤネ</t>
    </rPh>
    <rPh sb="2" eb="6">
      <t>コウアツセンジョウ</t>
    </rPh>
    <phoneticPr fontId="2"/>
  </si>
  <si>
    <t>屋根板金塗装</t>
    <rPh sb="0" eb="4">
      <t>ヤネバンキン</t>
    </rPh>
    <rPh sb="4" eb="6">
      <t>トソウ</t>
    </rPh>
    <phoneticPr fontId="2"/>
  </si>
  <si>
    <t>ケレン+錆止め　　　　　　　　　　　　　　　　　　　　　　　　クリーンマイルドシリコン</t>
    <rPh sb="4" eb="6">
      <t>サビド</t>
    </rPh>
    <phoneticPr fontId="2"/>
  </si>
  <si>
    <t>屋根塗装</t>
    <rPh sb="0" eb="2">
      <t>ヤネ</t>
    </rPh>
    <rPh sb="2" eb="4">
      <t>トソウ</t>
    </rPh>
    <phoneticPr fontId="2"/>
  </si>
  <si>
    <t>マイルドシーラーエポ　　　　　　　　　　　クールタイトSi</t>
    <phoneticPr fontId="2"/>
  </si>
  <si>
    <t>縁切り</t>
    <rPh sb="0" eb="2">
      <t>エンギ</t>
    </rPh>
    <phoneticPr fontId="2"/>
  </si>
  <si>
    <t>外壁高圧洗浄</t>
    <rPh sb="0" eb="2">
      <t>ガイヘキ</t>
    </rPh>
    <rPh sb="2" eb="6">
      <t>コウアツセンジョウ</t>
    </rPh>
    <phoneticPr fontId="2"/>
  </si>
  <si>
    <t>外壁塗装</t>
    <rPh sb="0" eb="4">
      <t>ガイヘキトソウ</t>
    </rPh>
    <phoneticPr fontId="2"/>
  </si>
  <si>
    <t>ミラクシーラーエコ+ベース色　　　　　タイル色+パターン色</t>
    <rPh sb="13" eb="14">
      <t>ショク</t>
    </rPh>
    <rPh sb="22" eb="23">
      <t>ショク</t>
    </rPh>
    <rPh sb="28" eb="29">
      <t>ショク</t>
    </rPh>
    <phoneticPr fontId="2"/>
  </si>
  <si>
    <t>トリプルトーン（ラジカル塗料）</t>
    <rPh sb="12" eb="14">
      <t>トリョウ</t>
    </rPh>
    <phoneticPr fontId="2"/>
  </si>
  <si>
    <t>土台・中間水切り塗装</t>
    <rPh sb="0" eb="2">
      <t>ドダイ</t>
    </rPh>
    <rPh sb="3" eb="5">
      <t>チュウカン</t>
    </rPh>
    <rPh sb="5" eb="7">
      <t>ミズキ</t>
    </rPh>
    <rPh sb="8" eb="10">
      <t>トソウ</t>
    </rPh>
    <phoneticPr fontId="2"/>
  </si>
  <si>
    <t>ｍ</t>
    <phoneticPr fontId="2"/>
  </si>
  <si>
    <t>出窓天端塗装</t>
    <rPh sb="0" eb="4">
      <t>デマドテンバ</t>
    </rPh>
    <rPh sb="4" eb="6">
      <t>トソウ</t>
    </rPh>
    <phoneticPr fontId="2"/>
  </si>
  <si>
    <t>化粧梁・付梁塗装</t>
    <rPh sb="0" eb="3">
      <t>ケショウハリ</t>
    </rPh>
    <rPh sb="4" eb="5">
      <t>ツ</t>
    </rPh>
    <rPh sb="5" eb="6">
      <t>ハリ</t>
    </rPh>
    <rPh sb="6" eb="8">
      <t>トソウ</t>
    </rPh>
    <phoneticPr fontId="2"/>
  </si>
  <si>
    <t>クリーンマイルドシリコン</t>
    <phoneticPr fontId="2"/>
  </si>
  <si>
    <t>破風・鼻隠し塗装</t>
    <rPh sb="0" eb="2">
      <t>ハフ</t>
    </rPh>
    <rPh sb="3" eb="5">
      <t>ハナカク</t>
    </rPh>
    <rPh sb="6" eb="8">
      <t>トソウ</t>
    </rPh>
    <phoneticPr fontId="2"/>
  </si>
  <si>
    <t>軒天塗装（破風ｍ合わせ）</t>
    <rPh sb="0" eb="4">
      <t>ノキテントソウ</t>
    </rPh>
    <rPh sb="5" eb="7">
      <t>ハフ</t>
    </rPh>
    <rPh sb="8" eb="9">
      <t>ア</t>
    </rPh>
    <phoneticPr fontId="2"/>
  </si>
  <si>
    <t>軒天塗装（玄関・バルコニー）</t>
    <rPh sb="0" eb="4">
      <t>ノキテントソウ</t>
    </rPh>
    <rPh sb="5" eb="7">
      <t>ゲンカン</t>
    </rPh>
    <phoneticPr fontId="2"/>
  </si>
  <si>
    <t>雨樋塗装</t>
    <rPh sb="0" eb="2">
      <t>アマドイ</t>
    </rPh>
    <rPh sb="2" eb="4">
      <t>トソウ</t>
    </rPh>
    <phoneticPr fontId="2"/>
  </si>
  <si>
    <t>シャッターボックス塗装</t>
    <rPh sb="9" eb="11">
      <t>トソウ</t>
    </rPh>
    <phoneticPr fontId="2"/>
  </si>
  <si>
    <t>基礎塗装</t>
    <rPh sb="0" eb="4">
      <t>キソトソウ</t>
    </rPh>
    <phoneticPr fontId="2"/>
  </si>
  <si>
    <t>ベースプロテクト</t>
    <phoneticPr fontId="2"/>
  </si>
  <si>
    <t>シーリング工事</t>
    <rPh sb="5" eb="7">
      <t>コウジ</t>
    </rPh>
    <phoneticPr fontId="2"/>
  </si>
  <si>
    <t>サイデイング目地シーリング</t>
    <rPh sb="6" eb="8">
      <t>メジ</t>
    </rPh>
    <phoneticPr fontId="2"/>
  </si>
  <si>
    <t>オートンイクシード　　　　　　　　　　　　　　　　　　　打ち替え</t>
    <rPh sb="28" eb="29">
      <t>ウ</t>
    </rPh>
    <rPh sb="30" eb="31">
      <t>カ</t>
    </rPh>
    <phoneticPr fontId="2"/>
  </si>
  <si>
    <t>雑シーリング</t>
    <rPh sb="0" eb="1">
      <t>ザツ</t>
    </rPh>
    <phoneticPr fontId="2"/>
  </si>
  <si>
    <t>開口部等</t>
    <rPh sb="0" eb="3">
      <t>カイコウブ</t>
    </rPh>
    <rPh sb="3" eb="4">
      <t>トウ</t>
    </rPh>
    <phoneticPr fontId="2"/>
  </si>
  <si>
    <t>トップライトガラス廻り　　　　　　　　　シーリング</t>
    <rPh sb="9" eb="10">
      <t>マワ</t>
    </rPh>
    <phoneticPr fontId="2"/>
  </si>
  <si>
    <t>シリコン</t>
    <phoneticPr fontId="2"/>
  </si>
  <si>
    <t>住林林業ホームテック㈱</t>
    <rPh sb="0" eb="2">
      <t>スミリン</t>
    </rPh>
    <rPh sb="2" eb="4">
      <t>リンギョウ</t>
    </rPh>
    <phoneticPr fontId="2"/>
  </si>
  <si>
    <t>吉田</t>
    <rPh sb="0" eb="2">
      <t>ヨシダ</t>
    </rPh>
    <phoneticPr fontId="2"/>
  </si>
  <si>
    <t>神奈川県横浜市旭区希望ヶ丘230-9</t>
    <rPh sb="0" eb="4">
      <t>カナガワケン</t>
    </rPh>
    <rPh sb="4" eb="7">
      <t>ヨコハマシ</t>
    </rPh>
    <rPh sb="7" eb="9">
      <t>アサヒク</t>
    </rPh>
    <rPh sb="9" eb="13">
      <t>キボウガオカ</t>
    </rPh>
    <phoneticPr fontId="2"/>
  </si>
  <si>
    <t>住吉屋様邸 改修工事</t>
    <rPh sb="0" eb="2">
      <t>スミヨシ</t>
    </rPh>
    <rPh sb="2" eb="3">
      <t>ヤ</t>
    </rPh>
    <rPh sb="3" eb="5">
      <t>サマテイ</t>
    </rPh>
    <rPh sb="4" eb="5">
      <t>テイ</t>
    </rPh>
    <rPh sb="6" eb="8">
      <t>カイシュウ</t>
    </rPh>
    <rPh sb="8" eb="10">
      <t>コウジ</t>
    </rPh>
    <phoneticPr fontId="2"/>
  </si>
  <si>
    <t>外壁塗装工事</t>
    <rPh sb="0" eb="4">
      <t>ガイヘキトソウ</t>
    </rPh>
    <rPh sb="4" eb="6">
      <t>コウジ</t>
    </rPh>
    <phoneticPr fontId="2"/>
  </si>
  <si>
    <t>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</si>
</sst>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¥&quot;#,##0;&quot;¥&quot;\-#,##0"/>
    <numFmt numFmtId="6" formatCode="&quot;¥&quot;#,##0;[Red]&quot;¥&quot;\-#,##0"/>
    <numFmt numFmtId="176" formatCode="#,##0;&quot;△ &quot;#,##0"/>
    <numFmt numFmtId="177" formatCode="&quot;(&quot;###,###,###&quot;)&quot;"/>
    <numFmt numFmtId="178" formatCode="0.0_ "/>
    <numFmt numFmtId="179" formatCode="#,##0_ "/>
    <numFmt numFmtId="180" formatCode="&quot;御担当　&quot;@&quot;　様&quot;"/>
    <numFmt numFmtId="181" formatCode="#,##0.0_ "/>
    <numFmt numFmtId="182" formatCode="[$-411]ggge&quot;年&quot;m&quot;月&quot;d&quot;日(&quot;aaa&quot;)&quot;;@"/>
    <numFmt numFmtId="183" formatCode="[$-411]ggge&quot;年&quot;m&quot;月&quot;d&quot;日&quot;;@"/>
    <numFmt numFmtId="184" formatCode="0.0%"/>
    <numFmt numFmtId="185" formatCode="[$-411]ggge&quot;年&quot;m&quot;月&quot;d&quot;日～&quot;;@"/>
    <numFmt numFmtId="186" formatCode="m&quot;月&quot;"/>
    <numFmt numFmtId="187" formatCode="m&quot;月&quot;d&quot;日&quot;;@"/>
  </numFmts>
  <fonts count="3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color indexed="63"/>
      <name val="ＭＳ Ｐゴシック"/>
      <family val="3"/>
      <charset val="128"/>
    </font>
    <font>
      <b/>
      <sz val="10"/>
      <color indexed="81"/>
      <name val="ＭＳ Ｐ明朝"/>
      <family val="1"/>
      <charset val="128"/>
    </font>
    <font>
      <sz val="12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6"/>
      <name val="ＭＳ Ｐゴシック"/>
      <family val="3"/>
      <charset val="128"/>
    </font>
    <font>
      <sz val="12"/>
      <color indexed="63"/>
      <name val="ＭＳ Ｐゴシック"/>
      <family val="3"/>
      <charset val="128"/>
    </font>
    <font>
      <sz val="6"/>
      <color indexed="63"/>
      <name val="ＭＳ Ｐゴシック"/>
      <family val="3"/>
      <charset val="128"/>
    </font>
    <font>
      <sz val="16"/>
      <color indexed="63"/>
      <name val="ＭＳ Ｐゴシック"/>
      <family val="3"/>
      <charset val="128"/>
    </font>
    <font>
      <sz val="14"/>
      <color indexed="63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b/>
      <u/>
      <sz val="14"/>
      <color indexed="63"/>
      <name val="ＭＳ Ｐゴシック"/>
      <family val="3"/>
      <charset val="128"/>
    </font>
    <font>
      <u/>
      <sz val="25"/>
      <name val="ＭＳ Ｐゴシック"/>
      <family val="3"/>
      <charset val="128"/>
    </font>
    <font>
      <u/>
      <sz val="25"/>
      <color indexed="63"/>
      <name val="ＭＳ Ｐゴシック"/>
      <family val="3"/>
      <charset val="128"/>
    </font>
    <font>
      <sz val="11"/>
      <name val="BIZ UDPゴシック"/>
      <family val="3"/>
      <charset val="128"/>
    </font>
    <font>
      <b/>
      <sz val="12"/>
      <color rgb="FFFF0000"/>
      <name val="BIZ UDPゴシック"/>
      <family val="3"/>
      <charset val="128"/>
    </font>
    <font>
      <sz val="8"/>
      <name val="BIZ UDPゴシック"/>
      <family val="3"/>
      <charset val="128"/>
    </font>
    <font>
      <sz val="12"/>
      <name val="BIZ UDPゴシック"/>
      <family val="3"/>
      <charset val="128"/>
    </font>
    <font>
      <sz val="10.5"/>
      <name val="BIZ UDPゴシック"/>
      <family val="3"/>
      <charset val="128"/>
    </font>
    <font>
      <b/>
      <sz val="24"/>
      <name val="BIZ UDPゴシック"/>
      <family val="3"/>
      <charset val="128"/>
    </font>
    <font>
      <sz val="16"/>
      <name val="BIZ UDPゴシック"/>
      <family val="3"/>
      <charset val="128"/>
    </font>
    <font>
      <b/>
      <sz val="12"/>
      <name val="BIZ UDPゴシック"/>
      <family val="3"/>
      <charset val="128"/>
    </font>
    <font>
      <b/>
      <sz val="16"/>
      <name val="BIZ UDPゴシック"/>
      <family val="3"/>
      <charset val="128"/>
    </font>
    <font>
      <sz val="14"/>
      <name val="BIZ UDPゴシック"/>
      <family val="3"/>
      <charset val="128"/>
    </font>
    <font>
      <sz val="10"/>
      <name val="BIZ UDPゴシック"/>
      <family val="3"/>
      <charset val="128"/>
    </font>
    <font>
      <b/>
      <sz val="20"/>
      <name val="BIZ UDPゴシック"/>
      <family val="3"/>
      <charset val="128"/>
    </font>
    <font>
      <sz val="24"/>
      <name val="BIZ UDP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1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dotted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55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23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/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23"/>
      </bottom>
      <diagonal/>
    </border>
    <border>
      <left/>
      <right style="thin">
        <color indexed="23"/>
      </right>
      <top style="thin">
        <color indexed="55"/>
      </top>
      <bottom style="thin">
        <color indexed="23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23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23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6" fontId="1" fillId="0" borderId="0" applyFont="0" applyFill="0" applyBorder="0" applyAlignment="0" applyProtection="0"/>
    <xf numFmtId="0" fontId="6" fillId="0" borderId="0"/>
  </cellStyleXfs>
  <cellXfs count="347">
    <xf numFmtId="0" fontId="0" fillId="0" borderId="0" xfId="0"/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2" xfId="0" applyBorder="1"/>
    <xf numFmtId="183" fontId="6" fillId="0" borderId="0" xfId="0" applyNumberFormat="1" applyFont="1" applyAlignment="1" applyProtection="1">
      <alignment horizontal="right"/>
      <protection locked="0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 vertical="center"/>
    </xf>
    <xf numFmtId="180" fontId="0" fillId="0" borderId="0" xfId="0" applyNumberFormat="1" applyAlignment="1" applyProtection="1">
      <alignment horizontal="right"/>
      <protection locked="0"/>
    </xf>
    <xf numFmtId="0" fontId="6" fillId="0" borderId="0" xfId="0" applyFont="1"/>
    <xf numFmtId="5" fontId="12" fillId="0" borderId="0" xfId="0" applyNumberFormat="1" applyFont="1"/>
    <xf numFmtId="183" fontId="0" fillId="0" borderId="6" xfId="0" applyNumberForma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 applyProtection="1">
      <alignment wrapText="1"/>
      <protection locked="0"/>
    </xf>
    <xf numFmtId="178" fontId="6" fillId="0" borderId="1" xfId="0" applyNumberFormat="1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176" fontId="6" fillId="0" borderId="1" xfId="0" applyNumberFormat="1" applyFont="1" applyBorder="1" applyProtection="1">
      <protection locked="0"/>
    </xf>
    <xf numFmtId="179" fontId="6" fillId="0" borderId="1" xfId="0" applyNumberFormat="1" applyFont="1" applyBorder="1" applyAlignment="1" applyProtection="1">
      <alignment wrapText="1"/>
      <protection locked="0"/>
    </xf>
    <xf numFmtId="177" fontId="6" fillId="0" borderId="1" xfId="0" applyNumberFormat="1" applyFont="1" applyBorder="1" applyProtection="1">
      <protection locked="0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178" fontId="6" fillId="0" borderId="2" xfId="0" applyNumberFormat="1" applyFont="1" applyBorder="1" applyAlignment="1" applyProtection="1">
      <alignment vertical="center"/>
      <protection locked="0"/>
    </xf>
    <xf numFmtId="176" fontId="6" fillId="0" borderId="2" xfId="0" applyNumberFormat="1" applyFont="1" applyBorder="1" applyAlignment="1" applyProtection="1">
      <alignment vertical="center"/>
      <protection locked="0"/>
    </xf>
    <xf numFmtId="5" fontId="6" fillId="0" borderId="2" xfId="0" applyNumberFormat="1" applyFont="1" applyBorder="1" applyAlignment="1" applyProtection="1">
      <alignment vertical="center"/>
      <protection locked="0"/>
    </xf>
    <xf numFmtId="179" fontId="6" fillId="0" borderId="2" xfId="0" applyNumberFormat="1" applyFont="1" applyBorder="1" applyAlignment="1" applyProtection="1">
      <alignment vertical="center" wrapText="1"/>
      <protection locked="0"/>
    </xf>
    <xf numFmtId="0" fontId="0" fillId="0" borderId="2" xfId="0" applyBorder="1" applyAlignment="1">
      <alignment horizontal="center" wrapText="1"/>
    </xf>
    <xf numFmtId="18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wrapText="1"/>
    </xf>
    <xf numFmtId="181" fontId="0" fillId="0" borderId="2" xfId="0" applyNumberFormat="1" applyBorder="1"/>
    <xf numFmtId="176" fontId="0" fillId="0" borderId="2" xfId="0" applyNumberFormat="1" applyBorder="1"/>
    <xf numFmtId="0" fontId="4" fillId="0" borderId="0" xfId="0" applyFont="1"/>
    <xf numFmtId="183" fontId="13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  <xf numFmtId="0" fontId="4" fillId="0" borderId="8" xfId="0" applyFont="1" applyBorder="1" applyAlignment="1" applyProtection="1">
      <alignment horizontal="center" vertical="center" shrinkToFit="1"/>
      <protection locked="0"/>
    </xf>
    <xf numFmtId="0" fontId="13" fillId="0" borderId="0" xfId="0" applyFont="1"/>
    <xf numFmtId="5" fontId="18" fillId="0" borderId="0" xfId="0" applyNumberFormat="1" applyFont="1"/>
    <xf numFmtId="183" fontId="4" fillId="0" borderId="6" xfId="0" applyNumberFormat="1" applyFont="1" applyBorder="1" applyAlignment="1" applyProtection="1">
      <alignment horizontal="center" vertical="center" shrinkToFit="1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187" fontId="6" fillId="0" borderId="1" xfId="0" applyNumberFormat="1" applyFont="1" applyBorder="1" applyAlignment="1" applyProtection="1">
      <alignment wrapText="1"/>
      <protection locked="0"/>
    </xf>
    <xf numFmtId="6" fontId="6" fillId="0" borderId="2" xfId="1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0" fillId="0" borderId="8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21" fillId="0" borderId="8" xfId="0" applyFont="1" applyBorder="1" applyAlignment="1">
      <alignment horizontal="distributed" vertical="center"/>
    </xf>
    <xf numFmtId="182" fontId="21" fillId="0" borderId="8" xfId="0" applyNumberFormat="1" applyFont="1" applyBorder="1" applyAlignment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1" fillId="8" borderId="2" xfId="0" applyFont="1" applyFill="1" applyBorder="1" applyAlignment="1">
      <alignment horizontal="distributed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distributed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distributed" vertical="center"/>
    </xf>
    <xf numFmtId="0" fontId="21" fillId="8" borderId="81" xfId="0" applyFont="1" applyFill="1" applyBorder="1" applyAlignment="1">
      <alignment horizontal="distributed" vertical="center"/>
    </xf>
    <xf numFmtId="0" fontId="21" fillId="0" borderId="27" xfId="0" applyFont="1" applyBorder="1" applyAlignment="1" applyProtection="1">
      <alignment vertical="center"/>
      <protection locked="0"/>
    </xf>
    <xf numFmtId="0" fontId="21" fillId="0" borderId="28" xfId="0" applyFont="1" applyBorder="1" applyAlignment="1" applyProtection="1">
      <alignment vertical="center"/>
      <protection locked="0"/>
    </xf>
    <xf numFmtId="0" fontId="21" fillId="0" borderId="80" xfId="0" applyFont="1" applyBorder="1" applyAlignment="1" applyProtection="1">
      <alignment vertical="center"/>
      <protection locked="0"/>
    </xf>
    <xf numFmtId="0" fontId="21" fillId="0" borderId="37" xfId="0" applyFont="1" applyBorder="1" applyAlignment="1" applyProtection="1">
      <alignment vertical="center"/>
      <protection locked="0"/>
    </xf>
    <xf numFmtId="0" fontId="21" fillId="0" borderId="30" xfId="0" applyFont="1" applyBorder="1" applyAlignment="1" applyProtection="1">
      <alignment vertical="center"/>
      <protection locked="0"/>
    </xf>
    <xf numFmtId="0" fontId="21" fillId="0" borderId="31" xfId="0" applyFont="1" applyBorder="1" applyAlignment="1" applyProtection="1">
      <alignment vertical="center"/>
      <protection locked="0"/>
    </xf>
    <xf numFmtId="0" fontId="21" fillId="0" borderId="32" xfId="0" applyFont="1" applyBorder="1" applyAlignment="1" applyProtection="1">
      <alignment vertical="center"/>
      <protection locked="0"/>
    </xf>
    <xf numFmtId="0" fontId="21" fillId="0" borderId="8" xfId="0" applyFont="1" applyBorder="1" applyAlignment="1" applyProtection="1">
      <alignment vertical="center"/>
      <protection locked="0"/>
    </xf>
    <xf numFmtId="0" fontId="21" fillId="0" borderId="33" xfId="0" applyFont="1" applyBorder="1" applyAlignment="1" applyProtection="1">
      <alignment vertical="center"/>
      <protection locked="0"/>
    </xf>
    <xf numFmtId="187" fontId="21" fillId="0" borderId="51" xfId="0" applyNumberFormat="1" applyFont="1" applyBorder="1" applyAlignment="1" applyProtection="1">
      <alignment vertical="center"/>
      <protection locked="0"/>
    </xf>
    <xf numFmtId="187" fontId="21" fillId="0" borderId="52" xfId="0" applyNumberFormat="1" applyFont="1" applyBorder="1" applyAlignment="1" applyProtection="1">
      <alignment vertical="center"/>
      <protection locked="0"/>
    </xf>
    <xf numFmtId="187" fontId="21" fillId="0" borderId="53" xfId="0" applyNumberFormat="1" applyFont="1" applyBorder="1" applyAlignment="1" applyProtection="1">
      <alignment vertical="center"/>
      <protection locked="0"/>
    </xf>
    <xf numFmtId="0" fontId="21" fillId="0" borderId="34" xfId="0" applyFont="1" applyBorder="1" applyAlignment="1" applyProtection="1">
      <alignment vertical="center"/>
      <protection locked="0"/>
    </xf>
    <xf numFmtId="0" fontId="21" fillId="0" borderId="35" xfId="0" applyFont="1" applyBorder="1" applyAlignment="1" applyProtection="1">
      <alignment vertical="center"/>
      <protection locked="0"/>
    </xf>
    <xf numFmtId="0" fontId="21" fillId="0" borderId="6" xfId="0" applyFont="1" applyBorder="1" applyAlignment="1">
      <alignment horizontal="distributed"/>
    </xf>
    <xf numFmtId="0" fontId="21" fillId="0" borderId="6" xfId="0" applyFont="1" applyBorder="1" applyAlignment="1">
      <alignment vertical="center"/>
    </xf>
    <xf numFmtId="0" fontId="21" fillId="0" borderId="36" xfId="0" applyFont="1" applyBorder="1" applyAlignment="1" applyProtection="1">
      <alignment vertical="center"/>
      <protection locked="0"/>
    </xf>
    <xf numFmtId="0" fontId="21" fillId="0" borderId="38" xfId="0" applyFont="1" applyBorder="1" applyAlignment="1" applyProtection="1">
      <alignment vertical="center"/>
      <protection locked="0"/>
    </xf>
    <xf numFmtId="0" fontId="21" fillId="0" borderId="29" xfId="0" applyFont="1" applyBorder="1" applyAlignment="1" applyProtection="1">
      <alignment vertical="center"/>
      <protection locked="0"/>
    </xf>
    <xf numFmtId="0" fontId="21" fillId="8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21" fillId="0" borderId="2" xfId="0" applyFont="1" applyBorder="1"/>
    <xf numFmtId="0" fontId="21" fillId="0" borderId="0" xfId="0" applyFont="1"/>
    <xf numFmtId="0" fontId="24" fillId="0" borderId="0" xfId="2" applyFont="1" applyProtection="1">
      <protection locked="0"/>
    </xf>
    <xf numFmtId="0" fontId="24" fillId="3" borderId="8" xfId="2" applyFont="1" applyFill="1" applyBorder="1" applyAlignment="1">
      <alignment vertical="center"/>
    </xf>
    <xf numFmtId="0" fontId="21" fillId="0" borderId="0" xfId="2" applyFont="1" applyProtection="1">
      <protection locked="0"/>
    </xf>
    <xf numFmtId="0" fontId="21" fillId="0" borderId="0" xfId="2" applyFont="1"/>
    <xf numFmtId="0" fontId="21" fillId="0" borderId="10" xfId="2" applyFont="1" applyBorder="1" applyAlignment="1">
      <alignment vertical="center" shrinkToFit="1"/>
    </xf>
    <xf numFmtId="0" fontId="21" fillId="0" borderId="17" xfId="2" applyFont="1" applyBorder="1" applyAlignment="1">
      <alignment vertical="center" shrinkToFit="1"/>
    </xf>
    <xf numFmtId="0" fontId="21" fillId="0" borderId="12" xfId="2" applyFont="1" applyBorder="1" applyAlignment="1">
      <alignment vertical="center" shrinkToFit="1"/>
    </xf>
    <xf numFmtId="0" fontId="21" fillId="0" borderId="12" xfId="2" applyFont="1" applyBorder="1" applyAlignment="1">
      <alignment horizontal="left" vertical="center" shrinkToFit="1"/>
    </xf>
    <xf numFmtId="0" fontId="21" fillId="0" borderId="10" xfId="2" applyFont="1" applyBorder="1" applyAlignment="1">
      <alignment horizontal="left" vertical="center" shrinkToFit="1"/>
    </xf>
    <xf numFmtId="0" fontId="21" fillId="0" borderId="17" xfId="2" applyFont="1" applyBorder="1" applyAlignment="1">
      <alignment horizontal="left" vertical="center" shrinkToFit="1"/>
    </xf>
    <xf numFmtId="0" fontId="21" fillId="2" borderId="12" xfId="2" applyFont="1" applyFill="1" applyBorder="1" applyAlignment="1" applyProtection="1">
      <alignment horizontal="left" vertical="center" shrinkToFit="1"/>
      <protection locked="0"/>
    </xf>
    <xf numFmtId="0" fontId="21" fillId="0" borderId="10" xfId="2" applyFont="1" applyBorder="1" applyAlignment="1">
      <alignment horizontal="center" vertical="center" shrinkToFit="1"/>
    </xf>
    <xf numFmtId="0" fontId="24" fillId="3" borderId="113" xfId="2" applyFont="1" applyFill="1" applyBorder="1" applyAlignment="1">
      <alignment vertical="center"/>
    </xf>
    <xf numFmtId="0" fontId="27" fillId="0" borderId="0" xfId="0" applyFont="1"/>
    <xf numFmtId="0" fontId="24" fillId="0" borderId="0" xfId="0" applyFont="1"/>
    <xf numFmtId="183" fontId="28" fillId="0" borderId="0" xfId="0" applyNumberFormat="1" applyFont="1" applyAlignment="1">
      <alignment horizontal="right"/>
    </xf>
    <xf numFmtId="0" fontId="29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54" xfId="0" applyFont="1" applyBorder="1"/>
    <xf numFmtId="0" fontId="27" fillId="0" borderId="6" xfId="0" applyFont="1" applyBorder="1" applyAlignment="1">
      <alignment vertical="center"/>
    </xf>
    <xf numFmtId="0" fontId="27" fillId="0" borderId="7" xfId="0" applyFont="1" applyBorder="1"/>
    <xf numFmtId="0" fontId="27" fillId="0" borderId="55" xfId="0" applyFont="1" applyBorder="1"/>
    <xf numFmtId="0" fontId="27" fillId="0" borderId="39" xfId="0" applyFont="1" applyBorder="1" applyAlignment="1">
      <alignment vertical="center"/>
    </xf>
    <xf numFmtId="0" fontId="27" fillId="0" borderId="56" xfId="0" applyFont="1" applyBorder="1"/>
    <xf numFmtId="0" fontId="27" fillId="0" borderId="32" xfId="0" applyFont="1" applyBorder="1"/>
    <xf numFmtId="0" fontId="27" fillId="0" borderId="8" xfId="0" applyFont="1" applyBorder="1" applyAlignment="1">
      <alignment vertical="center"/>
    </xf>
    <xf numFmtId="0" fontId="31" fillId="0" borderId="39" xfId="0" applyFont="1" applyBorder="1"/>
    <xf numFmtId="0" fontId="27" fillId="0" borderId="39" xfId="0" applyFont="1" applyBorder="1"/>
    <xf numFmtId="0" fontId="24" fillId="0" borderId="39" xfId="0" applyFont="1" applyBorder="1"/>
    <xf numFmtId="0" fontId="27" fillId="0" borderId="8" xfId="0" applyFont="1" applyBorder="1"/>
    <xf numFmtId="0" fontId="30" fillId="0" borderId="8" xfId="0" applyFont="1" applyBorder="1" applyAlignment="1">
      <alignment horizontal="right" vertical="center"/>
    </xf>
    <xf numFmtId="0" fontId="27" fillId="0" borderId="33" xfId="0" applyFont="1" applyBorder="1"/>
    <xf numFmtId="0" fontId="27" fillId="0" borderId="57" xfId="0" applyFont="1" applyBorder="1"/>
    <xf numFmtId="0" fontId="30" fillId="0" borderId="3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178" fontId="27" fillId="0" borderId="43" xfId="0" applyNumberFormat="1" applyFont="1" applyBorder="1"/>
    <xf numFmtId="0" fontId="27" fillId="0" borderId="43" xfId="0" applyFont="1" applyBorder="1" applyAlignment="1">
      <alignment horizontal="center"/>
    </xf>
    <xf numFmtId="0" fontId="27" fillId="0" borderId="47" xfId="0" applyFont="1" applyBorder="1" applyAlignment="1">
      <alignment shrinkToFit="1"/>
    </xf>
    <xf numFmtId="0" fontId="27" fillId="0" borderId="58" xfId="0" applyFont="1" applyBorder="1"/>
    <xf numFmtId="178" fontId="27" fillId="0" borderId="44" xfId="0" applyNumberFormat="1" applyFont="1" applyBorder="1"/>
    <xf numFmtId="0" fontId="27" fillId="0" borderId="44" xfId="0" applyFont="1" applyBorder="1" applyAlignment="1">
      <alignment horizontal="center"/>
    </xf>
    <xf numFmtId="0" fontId="27" fillId="0" borderId="48" xfId="0" applyFont="1" applyBorder="1" applyAlignment="1">
      <alignment shrinkToFit="1"/>
    </xf>
    <xf numFmtId="0" fontId="27" fillId="0" borderId="59" xfId="0" applyFont="1" applyBorder="1"/>
    <xf numFmtId="178" fontId="27" fillId="0" borderId="45" xfId="0" applyNumberFormat="1" applyFont="1" applyBorder="1"/>
    <xf numFmtId="0" fontId="27" fillId="0" borderId="45" xfId="0" applyFont="1" applyBorder="1" applyAlignment="1">
      <alignment horizontal="center"/>
    </xf>
    <xf numFmtId="0" fontId="27" fillId="0" borderId="49" xfId="0" applyFont="1" applyBorder="1" applyAlignment="1">
      <alignment shrinkToFit="1"/>
    </xf>
    <xf numFmtId="0" fontId="30" fillId="0" borderId="32" xfId="0" applyFont="1" applyBorder="1" applyAlignment="1">
      <alignment vertical="center"/>
    </xf>
    <xf numFmtId="0" fontId="24" fillId="0" borderId="41" xfId="0" applyFont="1" applyBorder="1" applyAlignment="1">
      <alignment horizontal="center" vertical="center"/>
    </xf>
    <xf numFmtId="178" fontId="27" fillId="0" borderId="46" xfId="0" applyNumberFormat="1" applyFont="1" applyBorder="1"/>
    <xf numFmtId="0" fontId="27" fillId="0" borderId="46" xfId="0" applyFont="1" applyBorder="1" applyAlignment="1">
      <alignment horizontal="center"/>
    </xf>
    <xf numFmtId="0" fontId="21" fillId="0" borderId="6" xfId="0" applyFont="1" applyBorder="1" applyAlignment="1">
      <alignment horizontal="right" vertical="center"/>
    </xf>
    <xf numFmtId="0" fontId="21" fillId="0" borderId="7" xfId="0" applyFont="1" applyBorder="1" applyAlignment="1">
      <alignment vertical="center"/>
    </xf>
    <xf numFmtId="0" fontId="27" fillId="0" borderId="27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7" fillId="0" borderId="28" xfId="0" applyFont="1" applyBorder="1" applyAlignment="1">
      <alignment horizontal="left"/>
    </xf>
    <xf numFmtId="0" fontId="27" fillId="0" borderId="0" xfId="0" applyFont="1" applyAlignment="1">
      <alignment vertical="center"/>
    </xf>
    <xf numFmtId="0" fontId="30" fillId="0" borderId="6" xfId="0" applyFont="1" applyBorder="1" applyAlignment="1">
      <alignment horizontal="right" vertical="center"/>
    </xf>
    <xf numFmtId="0" fontId="27" fillId="0" borderId="6" xfId="0" applyFont="1" applyBorder="1"/>
    <xf numFmtId="0" fontId="30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7" fillId="0" borderId="26" xfId="0" applyFont="1" applyBorder="1"/>
    <xf numFmtId="0" fontId="27" fillId="0" borderId="28" xfId="0" applyFont="1" applyBorder="1"/>
    <xf numFmtId="0" fontId="27" fillId="0" borderId="27" xfId="0" applyFont="1" applyBorder="1"/>
    <xf numFmtId="0" fontId="32" fillId="0" borderId="0" xfId="0" applyFont="1"/>
    <xf numFmtId="0" fontId="24" fillId="0" borderId="0" xfId="0" applyFont="1" applyAlignment="1">
      <alignment horizontal="left" shrinkToFit="1"/>
    </xf>
    <xf numFmtId="0" fontId="27" fillId="0" borderId="37" xfId="0" applyFont="1" applyBorder="1"/>
    <xf numFmtId="0" fontId="27" fillId="0" borderId="30" xfId="0" applyFont="1" applyBorder="1"/>
    <xf numFmtId="0" fontId="24" fillId="0" borderId="30" xfId="0" applyFont="1" applyBorder="1"/>
    <xf numFmtId="0" fontId="27" fillId="0" borderId="34" xfId="0" applyFont="1" applyBorder="1"/>
    <xf numFmtId="0" fontId="33" fillId="0" borderId="0" xfId="0" applyFont="1"/>
    <xf numFmtId="0" fontId="30" fillId="0" borderId="39" xfId="0" applyFont="1" applyBorder="1" applyAlignment="1">
      <alignment horizontal="distributed"/>
    </xf>
    <xf numFmtId="0" fontId="21" fillId="0" borderId="119" xfId="0" applyFont="1" applyBorder="1"/>
    <xf numFmtId="186" fontId="21" fillId="0" borderId="18" xfId="2" applyNumberFormat="1" applyFont="1" applyBorder="1" applyAlignment="1">
      <alignment horizontal="right" vertical="center" shrinkToFit="1"/>
    </xf>
    <xf numFmtId="186" fontId="21" fillId="0" borderId="19" xfId="2" applyNumberFormat="1" applyFont="1" applyBorder="1" applyAlignment="1">
      <alignment vertical="center" shrinkToFit="1"/>
    </xf>
    <xf numFmtId="186" fontId="21" fillId="0" borderId="92" xfId="2" applyNumberFormat="1" applyFont="1" applyBorder="1" applyAlignment="1">
      <alignment vertical="center" shrinkToFit="1"/>
    </xf>
    <xf numFmtId="0" fontId="21" fillId="0" borderId="93" xfId="2" applyFont="1" applyBorder="1" applyAlignment="1">
      <alignment horizontal="left" vertical="center" shrinkToFit="1"/>
    </xf>
    <xf numFmtId="3" fontId="25" fillId="0" borderId="9" xfId="2" applyNumberFormat="1" applyFont="1" applyBorder="1" applyAlignment="1">
      <alignment vertical="center" shrinkToFit="1"/>
    </xf>
    <xf numFmtId="3" fontId="25" fillId="0" borderId="11" xfId="2" applyNumberFormat="1" applyFont="1" applyBorder="1" applyAlignment="1">
      <alignment vertical="center" shrinkToFit="1"/>
    </xf>
    <xf numFmtId="3" fontId="25" fillId="0" borderId="12" xfId="2" applyNumberFormat="1" applyFont="1" applyBorder="1" applyAlignment="1">
      <alignment vertical="center" shrinkToFit="1"/>
    </xf>
    <xf numFmtId="3" fontId="25" fillId="0" borderId="13" xfId="2" applyNumberFormat="1" applyFont="1" applyBorder="1" applyAlignment="1">
      <alignment vertical="center" shrinkToFit="1"/>
    </xf>
    <xf numFmtId="3" fontId="25" fillId="0" borderId="14" xfId="2" applyNumberFormat="1" applyFont="1" applyBorder="1" applyAlignment="1">
      <alignment vertical="center" shrinkToFit="1"/>
    </xf>
    <xf numFmtId="3" fontId="25" fillId="0" borderId="94" xfId="2" applyNumberFormat="1" applyFont="1" applyBorder="1" applyAlignment="1">
      <alignment vertical="center" shrinkToFit="1"/>
    </xf>
    <xf numFmtId="3" fontId="25" fillId="0" borderId="10" xfId="2" applyNumberFormat="1" applyFont="1" applyBorder="1" applyAlignment="1">
      <alignment vertical="center" shrinkToFit="1"/>
    </xf>
    <xf numFmtId="3" fontId="25" fillId="0" borderId="15" xfId="2" applyNumberFormat="1" applyFont="1" applyBorder="1" applyAlignment="1">
      <alignment vertical="center" shrinkToFit="1"/>
    </xf>
    <xf numFmtId="3" fontId="25" fillId="0" borderId="95" xfId="2" applyNumberFormat="1" applyFont="1" applyBorder="1" applyAlignment="1">
      <alignment vertical="center" shrinkToFit="1"/>
    </xf>
    <xf numFmtId="0" fontId="21" fillId="0" borderId="96" xfId="2" applyFont="1" applyBorder="1" applyAlignment="1">
      <alignment horizontal="left" vertical="center" shrinkToFit="1"/>
    </xf>
    <xf numFmtId="3" fontId="25" fillId="4" borderId="25" xfId="2" applyNumberFormat="1" applyFont="1" applyFill="1" applyBorder="1" applyAlignment="1">
      <alignment vertical="center" shrinkToFit="1"/>
    </xf>
    <xf numFmtId="3" fontId="25" fillId="4" borderId="19" xfId="2" applyNumberFormat="1" applyFont="1" applyFill="1" applyBorder="1" applyAlignment="1">
      <alignment vertical="center" shrinkToFit="1"/>
    </xf>
    <xf numFmtId="3" fontId="25" fillId="4" borderId="20" xfId="2" applyNumberFormat="1" applyFont="1" applyFill="1" applyBorder="1" applyAlignment="1">
      <alignment vertical="center" shrinkToFit="1"/>
    </xf>
    <xf numFmtId="3" fontId="25" fillId="0" borderId="18" xfId="2" applyNumberFormat="1" applyFont="1" applyBorder="1" applyAlignment="1">
      <alignment vertical="center" shrinkToFit="1"/>
    </xf>
    <xf numFmtId="3" fontId="25" fillId="0" borderId="19" xfId="2" applyNumberFormat="1" applyFont="1" applyBorder="1" applyAlignment="1">
      <alignment vertical="center" shrinkToFit="1"/>
    </xf>
    <xf numFmtId="3" fontId="25" fillId="0" borderId="92" xfId="2" applyNumberFormat="1" applyFont="1" applyBorder="1" applyAlignment="1">
      <alignment vertical="center" shrinkToFit="1"/>
    </xf>
    <xf numFmtId="0" fontId="21" fillId="0" borderId="98" xfId="2" applyFont="1" applyBorder="1" applyAlignment="1">
      <alignment horizontal="left" vertical="center" shrinkToFit="1"/>
    </xf>
    <xf numFmtId="3" fontId="25" fillId="0" borderId="21" xfId="2" applyNumberFormat="1" applyFont="1" applyBorder="1" applyAlignment="1">
      <alignment vertical="center" shrinkToFit="1"/>
    </xf>
    <xf numFmtId="3" fontId="25" fillId="0" borderId="16" xfId="2" applyNumberFormat="1" applyFont="1" applyBorder="1" applyAlignment="1">
      <alignment vertical="center" shrinkToFit="1"/>
    </xf>
    <xf numFmtId="3" fontId="25" fillId="0" borderId="22" xfId="2" applyNumberFormat="1" applyFont="1" applyBorder="1" applyAlignment="1">
      <alignment vertical="center" shrinkToFit="1"/>
    </xf>
    <xf numFmtId="3" fontId="25" fillId="0" borderId="23" xfId="2" applyNumberFormat="1" applyFont="1" applyBorder="1" applyAlignment="1">
      <alignment vertical="center" shrinkToFit="1"/>
    </xf>
    <xf numFmtId="3" fontId="25" fillId="0" borderId="99" xfId="2" applyNumberFormat="1" applyFont="1" applyBorder="1" applyAlignment="1">
      <alignment vertical="center" shrinkToFit="1"/>
    </xf>
    <xf numFmtId="3" fontId="25" fillId="5" borderId="25" xfId="2" applyNumberFormat="1" applyFont="1" applyFill="1" applyBorder="1" applyAlignment="1">
      <alignment vertical="center" shrinkToFit="1"/>
    </xf>
    <xf numFmtId="3" fontId="25" fillId="5" borderId="19" xfId="2" applyNumberFormat="1" applyFont="1" applyFill="1" applyBorder="1" applyAlignment="1">
      <alignment vertical="center" shrinkToFit="1"/>
    </xf>
    <xf numFmtId="3" fontId="25" fillId="5" borderId="20" xfId="2" applyNumberFormat="1" applyFont="1" applyFill="1" applyBorder="1" applyAlignment="1">
      <alignment vertical="center" shrinkToFit="1"/>
    </xf>
    <xf numFmtId="0" fontId="21" fillId="2" borderId="100" xfId="2" applyFont="1" applyFill="1" applyBorder="1" applyAlignment="1">
      <alignment horizontal="left" vertical="center" shrinkToFit="1"/>
    </xf>
    <xf numFmtId="3" fontId="25" fillId="2" borderId="21" xfId="2" applyNumberFormat="1" applyFont="1" applyFill="1" applyBorder="1" applyAlignment="1">
      <alignment vertical="center" shrinkToFit="1"/>
    </xf>
    <xf numFmtId="3" fontId="25" fillId="2" borderId="14" xfId="2" applyNumberFormat="1" applyFont="1" applyFill="1" applyBorder="1" applyAlignment="1">
      <alignment vertical="center" shrinkToFit="1"/>
    </xf>
    <xf numFmtId="3" fontId="25" fillId="2" borderId="12" xfId="2" applyNumberFormat="1" applyFont="1" applyFill="1" applyBorder="1" applyAlignment="1">
      <alignment vertical="center" shrinkToFit="1"/>
    </xf>
    <xf numFmtId="0" fontId="25" fillId="0" borderId="9" xfId="2" applyFont="1" applyBorder="1" applyAlignment="1">
      <alignment vertical="center" shrinkToFit="1"/>
    </xf>
    <xf numFmtId="0" fontId="25" fillId="0" borderId="23" xfId="2" applyFont="1" applyBorder="1" applyAlignment="1">
      <alignment vertical="center" shrinkToFit="1"/>
    </xf>
    <xf numFmtId="0" fontId="25" fillId="0" borderId="22" xfId="2" applyFont="1" applyBorder="1" applyAlignment="1">
      <alignment vertical="center" shrinkToFit="1"/>
    </xf>
    <xf numFmtId="3" fontId="25" fillId="4" borderId="16" xfId="2" applyNumberFormat="1" applyFont="1" applyFill="1" applyBorder="1" applyAlignment="1">
      <alignment vertical="center" shrinkToFit="1"/>
    </xf>
    <xf numFmtId="3" fontId="25" fillId="4" borderId="22" xfId="2" applyNumberFormat="1" applyFont="1" applyFill="1" applyBorder="1" applyAlignment="1">
      <alignment vertical="center" shrinkToFit="1"/>
    </xf>
    <xf numFmtId="3" fontId="25" fillId="4" borderId="17" xfId="2" applyNumberFormat="1" applyFont="1" applyFill="1" applyBorder="1" applyAlignment="1">
      <alignment vertical="center" shrinkToFit="1"/>
    </xf>
    <xf numFmtId="3" fontId="25" fillId="4" borderId="88" xfId="2" applyNumberFormat="1" applyFont="1" applyFill="1" applyBorder="1" applyAlignment="1">
      <alignment vertical="center" shrinkToFit="1"/>
    </xf>
    <xf numFmtId="3" fontId="25" fillId="4" borderId="89" xfId="2" applyNumberFormat="1" applyFont="1" applyFill="1" applyBorder="1" applyAlignment="1">
      <alignment vertical="center" shrinkToFit="1"/>
    </xf>
    <xf numFmtId="3" fontId="25" fillId="4" borderId="90" xfId="2" applyNumberFormat="1" applyFont="1" applyFill="1" applyBorder="1" applyAlignment="1">
      <alignment vertical="center" shrinkToFit="1"/>
    </xf>
    <xf numFmtId="3" fontId="25" fillId="0" borderId="89" xfId="2" applyNumberFormat="1" applyFont="1" applyBorder="1" applyAlignment="1">
      <alignment vertical="center" shrinkToFit="1"/>
    </xf>
    <xf numFmtId="3" fontId="25" fillId="0" borderId="103" xfId="2" applyNumberFormat="1" applyFont="1" applyBorder="1" applyAlignment="1">
      <alignment vertical="center" shrinkToFit="1"/>
    </xf>
    <xf numFmtId="186" fontId="21" fillId="0" borderId="15" xfId="2" applyNumberFormat="1" applyFont="1" applyBorder="1" applyAlignment="1">
      <alignment horizontal="right" vertical="center" shrinkToFit="1"/>
    </xf>
    <xf numFmtId="186" fontId="21" fillId="0" borderId="11" xfId="2" applyNumberFormat="1" applyFont="1" applyBorder="1" applyAlignment="1">
      <alignment horizontal="right" vertical="center" shrinkToFit="1"/>
    </xf>
    <xf numFmtId="186" fontId="21" fillId="0" borderId="95" xfId="2" applyNumberFormat="1" applyFont="1" applyBorder="1" applyAlignment="1">
      <alignment horizontal="right" vertical="center" shrinkToFit="1"/>
    </xf>
    <xf numFmtId="3" fontId="25" fillId="0" borderId="50" xfId="2" applyNumberFormat="1" applyFont="1" applyBorder="1" applyAlignment="1">
      <alignment vertical="center" shrinkToFit="1"/>
    </xf>
    <xf numFmtId="0" fontId="21" fillId="0" borderId="107" xfId="2" applyFont="1" applyBorder="1" applyAlignment="1">
      <alignment horizontal="center" vertical="center" shrinkToFit="1"/>
    </xf>
    <xf numFmtId="184" fontId="25" fillId="0" borderId="108" xfId="2" applyNumberFormat="1" applyFont="1" applyBorder="1" applyAlignment="1">
      <alignment vertical="center" shrinkToFit="1"/>
    </xf>
    <xf numFmtId="184" fontId="25" fillId="0" borderId="109" xfId="2" applyNumberFormat="1" applyFont="1" applyBorder="1" applyAlignment="1">
      <alignment vertical="center" shrinkToFit="1"/>
    </xf>
    <xf numFmtId="184" fontId="25" fillId="0" borderId="107" xfId="2" applyNumberFormat="1" applyFont="1" applyBorder="1" applyAlignment="1">
      <alignment vertical="center" shrinkToFit="1"/>
    </xf>
    <xf numFmtId="184" fontId="25" fillId="0" borderId="110" xfId="2" applyNumberFormat="1" applyFont="1" applyBorder="1" applyAlignment="1">
      <alignment vertical="center" shrinkToFit="1"/>
    </xf>
    <xf numFmtId="3" fontId="25" fillId="0" borderId="111" xfId="2" applyNumberFormat="1" applyFont="1" applyBorder="1" applyAlignment="1">
      <alignment vertical="center" shrinkToFit="1"/>
    </xf>
    <xf numFmtId="0" fontId="21" fillId="0" borderId="93" xfId="2" applyFont="1" applyBorder="1" applyAlignment="1">
      <alignment horizontal="distributed" vertical="center" indent="1" shrinkToFit="1"/>
    </xf>
    <xf numFmtId="0" fontId="21" fillId="0" borderId="106" xfId="2" applyFont="1" applyBorder="1" applyAlignment="1">
      <alignment horizontal="distributed" vertical="center" indent="1" shrinkToFit="1"/>
    </xf>
    <xf numFmtId="0" fontId="21" fillId="7" borderId="8" xfId="0" applyFont="1" applyFill="1" applyBorder="1" applyAlignment="1" applyProtection="1">
      <alignment horizontal="center" vertical="center"/>
      <protection locked="0"/>
    </xf>
    <xf numFmtId="182" fontId="21" fillId="7" borderId="54" xfId="0" applyNumberFormat="1" applyFont="1" applyFill="1" applyBorder="1" applyAlignment="1" applyProtection="1">
      <alignment horizontal="center" vertical="center" shrinkToFit="1"/>
      <protection locked="0"/>
    </xf>
    <xf numFmtId="182" fontId="21" fillId="7" borderId="7" xfId="0" applyNumberFormat="1" applyFont="1" applyFill="1" applyBorder="1" applyAlignment="1" applyProtection="1">
      <alignment horizontal="center" vertical="center" shrinkToFit="1"/>
      <protection locked="0"/>
    </xf>
    <xf numFmtId="0" fontId="21" fillId="7" borderId="54" xfId="0" applyFont="1" applyFill="1" applyBorder="1" applyAlignment="1" applyProtection="1">
      <alignment horizontal="center" vertical="center" shrinkToFit="1"/>
      <protection locked="0"/>
    </xf>
    <xf numFmtId="0" fontId="21" fillId="7" borderId="7" xfId="0" applyFont="1" applyFill="1" applyBorder="1" applyAlignment="1" applyProtection="1">
      <alignment horizontal="center" vertical="center" shrinkToFit="1"/>
      <protection locked="0"/>
    </xf>
    <xf numFmtId="49" fontId="21" fillId="7" borderId="54" xfId="0" applyNumberFormat="1" applyFont="1" applyFill="1" applyBorder="1" applyAlignment="1" applyProtection="1">
      <alignment horizontal="center" vertical="center"/>
      <protection locked="0"/>
    </xf>
    <xf numFmtId="49" fontId="21" fillId="7" borderId="6" xfId="0" applyNumberFormat="1" applyFont="1" applyFill="1" applyBorder="1" applyAlignment="1" applyProtection="1">
      <alignment horizontal="center" vertical="center"/>
      <protection locked="0"/>
    </xf>
    <xf numFmtId="49" fontId="21" fillId="7" borderId="7" xfId="0" applyNumberFormat="1" applyFont="1" applyFill="1" applyBorder="1" applyAlignment="1" applyProtection="1">
      <alignment horizontal="center" vertical="center"/>
      <protection locked="0"/>
    </xf>
    <xf numFmtId="182" fontId="21" fillId="7" borderId="54" xfId="0" applyNumberFormat="1" applyFont="1" applyFill="1" applyBorder="1" applyAlignment="1" applyProtection="1">
      <alignment horizontal="right" vertical="center" shrinkToFit="1"/>
      <protection locked="0"/>
    </xf>
    <xf numFmtId="182" fontId="21" fillId="7" borderId="6" xfId="0" applyNumberFormat="1" applyFont="1" applyFill="1" applyBorder="1" applyAlignment="1" applyProtection="1">
      <alignment horizontal="right" vertical="center" shrinkToFit="1"/>
      <protection locked="0"/>
    </xf>
    <xf numFmtId="49" fontId="21" fillId="7" borderId="54" xfId="0" applyNumberFormat="1" applyFont="1" applyFill="1" applyBorder="1" applyAlignment="1" applyProtection="1">
      <alignment horizontal="center" vertical="center" wrapText="1"/>
      <protection locked="0"/>
    </xf>
    <xf numFmtId="49" fontId="21" fillId="7" borderId="6" xfId="0" applyNumberFormat="1" applyFont="1" applyFill="1" applyBorder="1" applyAlignment="1" applyProtection="1">
      <alignment horizontal="center" vertical="center" wrapText="1"/>
      <protection locked="0"/>
    </xf>
    <xf numFmtId="49" fontId="21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54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182" fontId="21" fillId="0" borderId="8" xfId="0" applyNumberFormat="1" applyFont="1" applyBorder="1" applyAlignment="1" applyProtection="1">
      <alignment horizontal="left" vertical="center" indent="1"/>
      <protection locked="0"/>
    </xf>
    <xf numFmtId="182" fontId="21" fillId="7" borderId="36" xfId="0" applyNumberFormat="1" applyFont="1" applyFill="1" applyBorder="1" applyAlignment="1" applyProtection="1">
      <alignment horizontal="center" vertical="center" shrinkToFit="1"/>
      <protection locked="0"/>
    </xf>
    <xf numFmtId="182" fontId="21" fillId="7" borderId="82" xfId="0" applyNumberFormat="1" applyFont="1" applyFill="1" applyBorder="1" applyAlignment="1" applyProtection="1">
      <alignment horizontal="center" vertical="center" shrinkToFit="1"/>
      <protection locked="0"/>
    </xf>
    <xf numFmtId="0" fontId="22" fillId="7" borderId="0" xfId="0" applyFont="1" applyFill="1" applyAlignment="1">
      <alignment horizontal="left" vertical="center" wrapText="1"/>
    </xf>
    <xf numFmtId="182" fontId="21" fillId="0" borderId="6" xfId="0" applyNumberFormat="1" applyFont="1" applyBorder="1" applyAlignment="1" applyProtection="1">
      <alignment horizontal="left" vertical="center" shrinkToFit="1"/>
      <protection locked="0"/>
    </xf>
    <xf numFmtId="182" fontId="21" fillId="0" borderId="7" xfId="0" applyNumberFormat="1" applyFont="1" applyBorder="1" applyAlignment="1" applyProtection="1">
      <alignment horizontal="left" vertical="center" shrinkToFit="1"/>
      <protection locked="0"/>
    </xf>
    <xf numFmtId="0" fontId="21" fillId="0" borderId="6" xfId="0" applyFont="1" applyBorder="1" applyAlignment="1">
      <alignment horizontal="center" vertical="center"/>
    </xf>
    <xf numFmtId="0" fontId="21" fillId="0" borderId="54" xfId="0" applyFont="1" applyBorder="1" applyAlignment="1" applyProtection="1">
      <alignment horizontal="center" vertical="center" wrapText="1"/>
      <protection locked="0"/>
    </xf>
    <xf numFmtId="0" fontId="21" fillId="0" borderId="7" xfId="0" applyFont="1" applyBorder="1" applyAlignment="1" applyProtection="1">
      <alignment horizontal="center" vertical="center" wrapText="1"/>
      <protection locked="0"/>
    </xf>
    <xf numFmtId="183" fontId="21" fillId="0" borderId="6" xfId="0" applyNumberFormat="1" applyFont="1" applyBorder="1" applyAlignment="1">
      <alignment horizontal="center" vertical="center"/>
    </xf>
    <xf numFmtId="5" fontId="21" fillId="7" borderId="54" xfId="0" applyNumberFormat="1" applyFont="1" applyFill="1" applyBorder="1" applyAlignment="1" applyProtection="1">
      <alignment vertical="center"/>
      <protection locked="0"/>
    </xf>
    <xf numFmtId="5" fontId="21" fillId="7" borderId="7" xfId="0" applyNumberFormat="1" applyFont="1" applyFill="1" applyBorder="1" applyAlignment="1" applyProtection="1">
      <alignment vertical="center"/>
      <protection locked="0"/>
    </xf>
    <xf numFmtId="0" fontId="21" fillId="7" borderId="54" xfId="0" applyFont="1" applyFill="1" applyBorder="1" applyAlignment="1" applyProtection="1">
      <alignment horizontal="center" vertical="center"/>
      <protection locked="0"/>
    </xf>
    <xf numFmtId="0" fontId="21" fillId="7" borderId="7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6" fillId="0" borderId="5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8" fillId="0" borderId="8" xfId="0" applyFont="1" applyBorder="1" applyAlignment="1" applyProtection="1">
      <alignment horizontal="center" shrinkToFit="1"/>
      <protection locked="0"/>
    </xf>
    <xf numFmtId="0" fontId="0" fillId="0" borderId="27" xfId="0" applyBorder="1" applyAlignment="1" applyProtection="1">
      <alignment horizontal="center" vertical="center" wrapText="1" shrinkToFit="1"/>
      <protection locked="0"/>
    </xf>
    <xf numFmtId="0" fontId="0" fillId="0" borderId="8" xfId="0" applyBorder="1" applyAlignment="1" applyProtection="1">
      <alignment horizontal="center" vertical="center" wrapText="1" shrinkToFit="1"/>
      <protection locked="0"/>
    </xf>
    <xf numFmtId="0" fontId="0" fillId="0" borderId="54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center" vertical="top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15" fillId="0" borderId="8" xfId="0" applyFont="1" applyBorder="1" applyAlignment="1" applyProtection="1">
      <alignment horizontal="center" shrinkToFit="1"/>
      <protection locked="0"/>
    </xf>
    <xf numFmtId="0" fontId="4" fillId="0" borderId="27" xfId="0" applyFont="1" applyBorder="1" applyAlignment="1" applyProtection="1">
      <alignment horizontal="center" vertical="center" wrapText="1" shrinkToFit="1"/>
      <protection locked="0"/>
    </xf>
    <xf numFmtId="0" fontId="4" fillId="0" borderId="8" xfId="0" applyFont="1" applyBorder="1" applyAlignment="1" applyProtection="1">
      <alignment horizontal="center" vertical="center" wrapText="1" shrinkToFit="1"/>
      <protection locked="0"/>
    </xf>
    <xf numFmtId="0" fontId="24" fillId="0" borderId="0" xfId="0" applyFont="1" applyAlignment="1">
      <alignment horizontal="left" indent="1"/>
    </xf>
    <xf numFmtId="0" fontId="24" fillId="0" borderId="0" xfId="0" applyFont="1" applyAlignment="1">
      <alignment horizontal="left" shrinkToFit="1"/>
    </xf>
    <xf numFmtId="0" fontId="28" fillId="0" borderId="39" xfId="0" applyFont="1" applyBorder="1"/>
    <xf numFmtId="0" fontId="28" fillId="0" borderId="30" xfId="0" applyFont="1" applyBorder="1"/>
    <xf numFmtId="0" fontId="27" fillId="0" borderId="68" xfId="0" applyFont="1" applyBorder="1"/>
    <xf numFmtId="0" fontId="27" fillId="0" borderId="69" xfId="0" applyFont="1" applyBorder="1"/>
    <xf numFmtId="0" fontId="21" fillId="0" borderId="6" xfId="0" applyFont="1" applyBorder="1" applyAlignment="1">
      <alignment horizontal="distributed" vertical="center"/>
    </xf>
    <xf numFmtId="0" fontId="21" fillId="0" borderId="7" xfId="0" applyFont="1" applyBorder="1" applyAlignment="1">
      <alignment horizontal="distributed" vertical="center"/>
    </xf>
    <xf numFmtId="0" fontId="21" fillId="0" borderId="6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6" fillId="6" borderId="0" xfId="0" applyFont="1" applyFill="1" applyAlignment="1">
      <alignment horizontal="center"/>
    </xf>
    <xf numFmtId="0" fontId="21" fillId="0" borderId="70" xfId="0" applyFont="1" applyBorder="1" applyAlignment="1">
      <alignment horizontal="right"/>
    </xf>
    <xf numFmtId="0" fontId="21" fillId="0" borderId="71" xfId="0" applyFont="1" applyBorder="1" applyAlignment="1">
      <alignment horizontal="right"/>
    </xf>
    <xf numFmtId="0" fontId="30" fillId="0" borderId="72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56" fontId="27" fillId="0" borderId="39" xfId="0" applyNumberFormat="1" applyFont="1" applyBorder="1" applyAlignment="1">
      <alignment vertical="center"/>
    </xf>
    <xf numFmtId="0" fontId="27" fillId="0" borderId="70" xfId="0" applyFont="1" applyBorder="1"/>
    <xf numFmtId="0" fontId="27" fillId="0" borderId="6" xfId="0" applyFont="1" applyBorder="1"/>
    <xf numFmtId="0" fontId="27" fillId="0" borderId="73" xfId="0" applyFont="1" applyBorder="1"/>
    <xf numFmtId="0" fontId="27" fillId="0" borderId="74" xfId="0" applyFont="1" applyBorder="1"/>
    <xf numFmtId="185" fontId="27" fillId="0" borderId="6" xfId="0" applyNumberFormat="1" applyFont="1" applyBorder="1" applyAlignment="1">
      <alignment vertical="center"/>
    </xf>
    <xf numFmtId="0" fontId="31" fillId="0" borderId="75" xfId="0" applyFont="1" applyBorder="1" applyAlignment="1">
      <alignment vertical="center" wrapText="1"/>
    </xf>
    <xf numFmtId="0" fontId="31" fillId="0" borderId="76" xfId="0" applyFont="1" applyBorder="1" applyAlignment="1">
      <alignment vertical="center" wrapText="1"/>
    </xf>
    <xf numFmtId="0" fontId="31" fillId="0" borderId="77" xfId="0" applyFont="1" applyBorder="1" applyAlignment="1">
      <alignment vertical="center" wrapText="1"/>
    </xf>
    <xf numFmtId="0" fontId="31" fillId="0" borderId="32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0" fontId="31" fillId="0" borderId="33" xfId="0" applyFont="1" applyBorder="1" applyAlignment="1">
      <alignment vertical="center" wrapText="1"/>
    </xf>
    <xf numFmtId="0" fontId="27" fillId="0" borderId="27" xfId="0" applyFont="1" applyBorder="1" applyAlignment="1">
      <alignment vertical="center" shrinkToFit="1"/>
    </xf>
    <xf numFmtId="0" fontId="27" fillId="0" borderId="8" xfId="0" applyFont="1" applyBorder="1"/>
    <xf numFmtId="0" fontId="27" fillId="0" borderId="8" xfId="0" applyFont="1" applyBorder="1" applyAlignment="1">
      <alignment shrinkToFit="1"/>
    </xf>
    <xf numFmtId="0" fontId="27" fillId="0" borderId="78" xfId="0" applyFont="1" applyBorder="1"/>
    <xf numFmtId="0" fontId="27" fillId="0" borderId="79" xfId="0" applyFont="1" applyBorder="1"/>
    <xf numFmtId="0" fontId="24" fillId="3" borderId="113" xfId="2" applyFont="1" applyFill="1" applyBorder="1" applyAlignment="1">
      <alignment vertical="center" shrinkToFit="1"/>
    </xf>
    <xf numFmtId="0" fontId="24" fillId="3" borderId="114" xfId="2" applyFont="1" applyFill="1" applyBorder="1" applyAlignment="1">
      <alignment vertical="center" shrinkToFit="1"/>
    </xf>
    <xf numFmtId="0" fontId="24" fillId="3" borderId="8" xfId="2" applyFont="1" applyFill="1" applyBorder="1" applyAlignment="1">
      <alignment vertical="center" shrinkToFit="1"/>
    </xf>
    <xf numFmtId="0" fontId="24" fillId="3" borderId="116" xfId="2" applyFont="1" applyFill="1" applyBorder="1" applyAlignment="1">
      <alignment vertical="center" shrinkToFit="1"/>
    </xf>
    <xf numFmtId="0" fontId="21" fillId="0" borderId="60" xfId="2" applyFont="1" applyBorder="1" applyAlignment="1">
      <alignment horizontal="center" vertical="center" shrinkToFit="1"/>
    </xf>
    <xf numFmtId="0" fontId="21" fillId="0" borderId="61" xfId="2" applyFont="1" applyBorder="1" applyAlignment="1">
      <alignment horizontal="center" vertical="center" shrinkToFit="1"/>
    </xf>
    <xf numFmtId="0" fontId="24" fillId="3" borderId="112" xfId="2" applyFont="1" applyFill="1" applyBorder="1" applyAlignment="1">
      <alignment horizontal="center" vertical="center"/>
    </xf>
    <xf numFmtId="0" fontId="24" fillId="3" borderId="115" xfId="2" applyFont="1" applyFill="1" applyBorder="1" applyAlignment="1">
      <alignment horizontal="center" vertical="center"/>
    </xf>
    <xf numFmtId="0" fontId="24" fillId="3" borderId="113" xfId="2" applyFont="1" applyFill="1" applyBorder="1" applyAlignment="1">
      <alignment horizontal="center" vertical="center"/>
    </xf>
    <xf numFmtId="0" fontId="24" fillId="3" borderId="8" xfId="2" applyFont="1" applyFill="1" applyBorder="1" applyAlignment="1">
      <alignment horizontal="center" vertical="center"/>
    </xf>
    <xf numFmtId="0" fontId="21" fillId="0" borderId="117" xfId="2" applyFont="1" applyBorder="1" applyAlignment="1">
      <alignment horizontal="center" vertical="center" shrinkToFit="1"/>
    </xf>
    <xf numFmtId="0" fontId="21" fillId="0" borderId="91" xfId="2" applyFont="1" applyBorder="1" applyAlignment="1">
      <alignment horizontal="center" vertical="center" shrinkToFit="1"/>
    </xf>
    <xf numFmtId="0" fontId="21" fillId="0" borderId="63" xfId="2" applyFont="1" applyBorder="1" applyAlignment="1">
      <alignment horizontal="center" vertical="center" shrinkToFit="1"/>
    </xf>
    <xf numFmtId="0" fontId="21" fillId="0" borderId="64" xfId="2" applyFont="1" applyBorder="1" applyAlignment="1">
      <alignment horizontal="center" vertical="center" shrinkToFit="1"/>
    </xf>
    <xf numFmtId="3" fontId="21" fillId="0" borderId="65" xfId="2" applyNumberFormat="1" applyFont="1" applyBorder="1" applyAlignment="1">
      <alignment horizontal="distributed" vertical="center" shrinkToFit="1"/>
    </xf>
    <xf numFmtId="3" fontId="21" fillId="0" borderId="66" xfId="2" applyNumberFormat="1" applyFont="1" applyBorder="1" applyAlignment="1">
      <alignment horizontal="distributed" vertical="center" shrinkToFit="1"/>
    </xf>
    <xf numFmtId="3" fontId="21" fillId="0" borderId="118" xfId="2" applyNumberFormat="1" applyFont="1" applyBorder="1" applyAlignment="1">
      <alignment horizontal="distributed" vertical="center" shrinkToFit="1"/>
    </xf>
    <xf numFmtId="0" fontId="21" fillId="0" borderId="51" xfId="2" applyFont="1" applyBorder="1" applyAlignment="1">
      <alignment horizontal="center" vertical="center" shrinkToFit="1"/>
    </xf>
    <xf numFmtId="0" fontId="21" fillId="0" borderId="62" xfId="2" applyFont="1" applyBorder="1" applyAlignment="1">
      <alignment horizontal="center" vertical="center" shrinkToFit="1"/>
    </xf>
    <xf numFmtId="0" fontId="21" fillId="4" borderId="102" xfId="2" applyFont="1" applyFill="1" applyBorder="1" applyAlignment="1">
      <alignment horizontal="distributed" vertical="center" indent="1" shrinkToFit="1"/>
    </xf>
    <xf numFmtId="0" fontId="21" fillId="4" borderId="87" xfId="2" applyFont="1" applyFill="1" applyBorder="1" applyAlignment="1">
      <alignment horizontal="distributed" vertical="center" indent="1" shrinkToFit="1"/>
    </xf>
    <xf numFmtId="0" fontId="21" fillId="4" borderId="97" xfId="2" applyFont="1" applyFill="1" applyBorder="1" applyAlignment="1">
      <alignment horizontal="center" vertical="center" shrinkToFit="1"/>
    </xf>
    <xf numFmtId="0" fontId="21" fillId="4" borderId="67" xfId="2" applyFont="1" applyFill="1" applyBorder="1" applyAlignment="1">
      <alignment horizontal="center" vertical="center" shrinkToFit="1"/>
    </xf>
    <xf numFmtId="0" fontId="21" fillId="5" borderId="97" xfId="2" applyFont="1" applyFill="1" applyBorder="1" applyAlignment="1">
      <alignment horizontal="center" vertical="center" shrinkToFit="1"/>
    </xf>
    <xf numFmtId="0" fontId="21" fillId="5" borderId="67" xfId="2" applyFont="1" applyFill="1" applyBorder="1" applyAlignment="1">
      <alignment horizontal="center" vertical="center" shrinkToFit="1"/>
    </xf>
    <xf numFmtId="3" fontId="21" fillId="0" borderId="24" xfId="2" applyNumberFormat="1" applyFont="1" applyBorder="1" applyAlignment="1">
      <alignment horizontal="distributed" vertical="center" shrinkToFit="1"/>
    </xf>
    <xf numFmtId="3" fontId="21" fillId="0" borderId="86" xfId="2" applyNumberFormat="1" applyFont="1" applyBorder="1" applyAlignment="1">
      <alignment horizontal="distributed" vertical="center" shrinkToFit="1"/>
    </xf>
    <xf numFmtId="3" fontId="21" fillId="0" borderId="105" xfId="2" applyNumberFormat="1" applyFont="1" applyBorder="1" applyAlignment="1">
      <alignment horizontal="distributed" vertical="center" shrinkToFit="1"/>
    </xf>
    <xf numFmtId="3" fontId="21" fillId="0" borderId="83" xfId="2" applyNumberFormat="1" applyFont="1" applyBorder="1" applyAlignment="1">
      <alignment horizontal="center" vertical="center" shrinkToFit="1"/>
    </xf>
    <xf numFmtId="3" fontId="21" fillId="0" borderId="21" xfId="2" applyNumberFormat="1" applyFont="1" applyBorder="1" applyAlignment="1">
      <alignment horizontal="center" vertical="center" shrinkToFit="1"/>
    </xf>
    <xf numFmtId="3" fontId="21" fillId="0" borderId="84" xfId="2" applyNumberFormat="1" applyFont="1" applyBorder="1" applyAlignment="1">
      <alignment horizontal="center" vertical="center" shrinkToFit="1"/>
    </xf>
    <xf numFmtId="3" fontId="21" fillId="0" borderId="14" xfId="2" applyNumberFormat="1" applyFont="1" applyBorder="1" applyAlignment="1">
      <alignment horizontal="center" vertical="center" shrinkToFit="1"/>
    </xf>
    <xf numFmtId="3" fontId="21" fillId="0" borderId="85" xfId="2" applyNumberFormat="1" applyFont="1" applyBorder="1" applyAlignment="1">
      <alignment horizontal="center" vertical="center" shrinkToFit="1"/>
    </xf>
    <xf numFmtId="3" fontId="21" fillId="0" borderId="12" xfId="2" applyNumberFormat="1" applyFont="1" applyBorder="1" applyAlignment="1">
      <alignment horizontal="center" vertical="center" shrinkToFit="1"/>
    </xf>
    <xf numFmtId="0" fontId="21" fillId="0" borderId="104" xfId="2" applyFont="1" applyBorder="1" applyAlignment="1">
      <alignment horizontal="distributed" vertical="center" indent="1" shrinkToFit="1"/>
    </xf>
    <xf numFmtId="0" fontId="21" fillId="0" borderId="98" xfId="2" applyFont="1" applyBorder="1" applyAlignment="1">
      <alignment horizontal="distributed" vertical="center" indent="1" shrinkToFit="1"/>
    </xf>
    <xf numFmtId="0" fontId="21" fillId="0" borderId="85" xfId="2" applyFont="1" applyBorder="1" applyAlignment="1">
      <alignment horizontal="center" vertical="center" shrinkToFit="1"/>
    </xf>
    <xf numFmtId="0" fontId="21" fillId="0" borderId="12" xfId="2" applyFont="1" applyBorder="1" applyAlignment="1">
      <alignment horizontal="center" vertical="center" shrinkToFit="1"/>
    </xf>
    <xf numFmtId="0" fontId="21" fillId="4" borderId="101" xfId="2" applyFont="1" applyFill="1" applyBorder="1" applyAlignment="1">
      <alignment horizontal="center" vertical="center" shrinkToFit="1"/>
    </xf>
    <xf numFmtId="0" fontId="21" fillId="4" borderId="77" xfId="2" applyFont="1" applyFill="1" applyBorder="1" applyAlignment="1">
      <alignment horizontal="center" vertical="center" shrinkToFit="1"/>
    </xf>
    <xf numFmtId="0" fontId="35" fillId="0" borderId="2" xfId="0" applyFont="1" applyBorder="1"/>
    <xf numFmtId="0" fontId="35" fillId="0" borderId="2" xfId="0" applyFont="1" applyBorder="1" applyAlignment="1">
      <alignment wrapText="1"/>
    </xf>
  </cellXfs>
  <cellStyles count="3">
    <cellStyle name="通貨" xfId="1" builtinId="7"/>
    <cellStyle name="標準" xfId="0" builtinId="0"/>
    <cellStyle name="標準_寶組－般倉庫" xfId="2" xr:uid="{00000000-0005-0000-0000-000002000000}"/>
  </cellStyles>
  <dxfs count="0"/>
  <tableStyles count="0" defaultTableStyle="TableStyleMedium9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5</xdr:row>
      <xdr:rowOff>104775</xdr:rowOff>
    </xdr:from>
    <xdr:to>
      <xdr:col>3</xdr:col>
      <xdr:colOff>619125</xdr:colOff>
      <xdr:row>5</xdr:row>
      <xdr:rowOff>333375</xdr:rowOff>
    </xdr:to>
    <xdr:sp macro="" textlink="">
      <xdr:nvSpPr>
        <xdr:cNvPr id="4303" name="Oval 2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SpPr>
          <a:spLocks noChangeArrowheads="1"/>
        </xdr:cNvSpPr>
      </xdr:nvSpPr>
      <xdr:spPr bwMode="auto">
        <a:xfrm>
          <a:off x="2581275" y="1752600"/>
          <a:ext cx="409575" cy="228600"/>
        </a:xfrm>
        <a:prstGeom prst="ellips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209550</xdr:colOff>
      <xdr:row>7</xdr:row>
      <xdr:rowOff>104775</xdr:rowOff>
    </xdr:from>
    <xdr:to>
      <xdr:col>7</xdr:col>
      <xdr:colOff>619125</xdr:colOff>
      <xdr:row>7</xdr:row>
      <xdr:rowOff>333375</xdr:rowOff>
    </xdr:to>
    <xdr:sp macro="" textlink="">
      <xdr:nvSpPr>
        <xdr:cNvPr id="4304" name="Oval 3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SpPr>
          <a:spLocks noChangeArrowheads="1"/>
        </xdr:cNvSpPr>
      </xdr:nvSpPr>
      <xdr:spPr bwMode="auto">
        <a:xfrm>
          <a:off x="5743575" y="2457450"/>
          <a:ext cx="409575" cy="228600"/>
        </a:xfrm>
        <a:prstGeom prst="ellips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847725</xdr:colOff>
      <xdr:row>2</xdr:row>
      <xdr:rowOff>57150</xdr:rowOff>
    </xdr:from>
    <xdr:to>
      <xdr:col>2</xdr:col>
      <xdr:colOff>1209675</xdr:colOff>
      <xdr:row>4</xdr:row>
      <xdr:rowOff>123825</xdr:rowOff>
    </xdr:to>
    <xdr:pic>
      <xdr:nvPicPr>
        <xdr:cNvPr id="1338" name="Picture 3" descr="日紘ロゴ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7" r="42258" b="42796"/>
        <a:stretch>
          <a:fillRect/>
        </a:stretch>
      </xdr:blipFill>
      <xdr:spPr bwMode="auto">
        <a:xfrm>
          <a:off x="2790825" y="600075"/>
          <a:ext cx="3619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1190624</xdr:colOff>
      <xdr:row>4</xdr:row>
      <xdr:rowOff>66675</xdr:rowOff>
    </xdr:from>
    <xdr:to>
      <xdr:col>6</xdr:col>
      <xdr:colOff>380999</xdr:colOff>
      <xdr:row>9</xdr:row>
      <xdr:rowOff>76200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ChangeArrowheads="1"/>
        </xdr:cNvSpPr>
      </xdr:nvSpPr>
      <xdr:spPr bwMode="auto">
        <a:xfrm>
          <a:off x="2895599" y="1047750"/>
          <a:ext cx="2505075" cy="1057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〒１５７－００７４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/>
            <a:ea typeface="ＭＳ ゴシック"/>
            <a:cs typeface="Times New Roman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東京都世田谷区大蔵６丁目１番３号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/>
            <a:ea typeface="ＭＳ ゴシック"/>
            <a:cs typeface="Times New Roman"/>
          </a:endParaRP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ＴＥＬ　０３－３４１７－１３４１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ＦＡＸ　０３－３４１６－１０６５</a:t>
          </a:r>
        </a:p>
      </xdr:txBody>
    </xdr:sp>
    <xdr:clientData/>
  </xdr:twoCellAnchor>
  <xdr:twoCellAnchor editAs="oneCell">
    <xdr:from>
      <xdr:col>2</xdr:col>
      <xdr:colOff>1333499</xdr:colOff>
      <xdr:row>2</xdr:row>
      <xdr:rowOff>123825</xdr:rowOff>
    </xdr:from>
    <xdr:to>
      <xdr:col>5</xdr:col>
      <xdr:colOff>847724</xdr:colOff>
      <xdr:row>4</xdr:row>
      <xdr:rowOff>9763</xdr:rowOff>
    </xdr:to>
    <xdr:pic>
      <xdr:nvPicPr>
        <xdr:cNvPr id="1340" name="Picture 12" descr="日紘建装(横)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4" y="714375"/>
          <a:ext cx="2447925" cy="362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2</xdr:row>
      <xdr:rowOff>19050</xdr:rowOff>
    </xdr:from>
    <xdr:to>
      <xdr:col>2</xdr:col>
      <xdr:colOff>1200150</xdr:colOff>
      <xdr:row>4</xdr:row>
      <xdr:rowOff>114300</xdr:rowOff>
    </xdr:to>
    <xdr:pic>
      <xdr:nvPicPr>
        <xdr:cNvPr id="2360" name="Picture 7" descr="日紘ロゴ">
          <a:extLst>
            <a:ext uri="{FF2B5EF4-FFF2-40B4-BE49-F238E27FC236}">
              <a16:creationId xmlns:a16="http://schemas.microsoft.com/office/drawing/2014/main" id="{00000000-0008-0000-0300-00003809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7" r="42258" b="44997"/>
        <a:stretch>
          <a:fillRect/>
        </a:stretch>
      </xdr:blipFill>
      <xdr:spPr bwMode="auto">
        <a:xfrm>
          <a:off x="2828925" y="609600"/>
          <a:ext cx="323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1247774</xdr:colOff>
      <xdr:row>2</xdr:row>
      <xdr:rowOff>104774</xdr:rowOff>
    </xdr:from>
    <xdr:to>
      <xdr:col>5</xdr:col>
      <xdr:colOff>742949</xdr:colOff>
      <xdr:row>4</xdr:row>
      <xdr:rowOff>47774</xdr:rowOff>
    </xdr:to>
    <xdr:pic>
      <xdr:nvPicPr>
        <xdr:cNvPr id="2361" name="Picture 12" descr="日紘建装(横)">
          <a:extLst>
            <a:ext uri="{FF2B5EF4-FFF2-40B4-BE49-F238E27FC236}">
              <a16:creationId xmlns:a16="http://schemas.microsoft.com/office/drawing/2014/main" id="{00000000-0008-0000-03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399" y="695324"/>
          <a:ext cx="2428875" cy="3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1362075</xdr:colOff>
      <xdr:row>4</xdr:row>
      <xdr:rowOff>95250</xdr:rowOff>
    </xdr:from>
    <xdr:ext cx="2705100" cy="676467"/>
    <xdr:sp macro="" textlink="">
      <xdr:nvSpPr>
        <xdr:cNvPr id="2" name="Text Box 13">
          <a:extLst>
            <a:ext uri="{FF2B5EF4-FFF2-40B4-BE49-F238E27FC236}">
              <a16:creationId xmlns:a16="http://schemas.microsoft.com/office/drawing/2014/main" id="{76558031-6E29-4B40-8F6B-FAB03B5754A9}"/>
            </a:ext>
          </a:extLst>
        </xdr:cNvPr>
        <xdr:cNvSpPr txBox="1">
          <a:spLocks noChangeArrowheads="1"/>
        </xdr:cNvSpPr>
      </xdr:nvSpPr>
      <xdr:spPr bwMode="auto">
        <a:xfrm>
          <a:off x="3590925" y="1066800"/>
          <a:ext cx="2705100" cy="6764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4295" tIns="8890" rIns="74295" bIns="8890" anchor="t" upright="1">
          <a:spAutoFit/>
        </a:bodyPr>
        <a:lstStyle/>
        <a:p>
          <a:pPr algn="l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〒１５７－００７４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/>
            <a:ea typeface="ＭＳ ゴシック"/>
            <a:cs typeface="Times New Roman"/>
          </a:endParaRPr>
        </a:p>
        <a:p>
          <a:pPr algn="l" rtl="0">
            <a:lnSpc>
              <a:spcPct val="100000"/>
            </a:lnSpc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東京都世田谷区大蔵６丁目１番３号</a:t>
          </a:r>
          <a:endParaRPr lang="ja-JP" altLang="en-US" sz="1050" b="0" i="0" u="none" strike="noStrike" baseline="0">
            <a:solidFill>
              <a:srgbClr val="000000"/>
            </a:solidFill>
            <a:latin typeface="Times New Roman"/>
            <a:ea typeface="ＭＳ ゴシック"/>
            <a:cs typeface="Times New Roman"/>
          </a:endParaRPr>
        </a:p>
        <a:p>
          <a:pPr algn="l" rtl="0">
            <a:lnSpc>
              <a:spcPct val="100000"/>
            </a:lnSpc>
            <a:defRPr sz="1000"/>
          </a:pP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TEL</a:t>
          </a:r>
          <a:r>
            <a:rPr lang="ja-JP" altLang="en-US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：</a:t>
          </a: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03-3417-1341</a:t>
          </a:r>
          <a:r>
            <a:rPr lang="ja-JP" altLang="en-US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/ FAX</a:t>
          </a:r>
          <a:r>
            <a:rPr lang="ja-JP" altLang="en-US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：</a:t>
          </a: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03-3416-1065</a:t>
          </a:r>
        </a:p>
        <a:p>
          <a:pPr algn="l" rtl="0">
            <a:lnSpc>
              <a:spcPct val="100000"/>
            </a:lnSpc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登録番号：</a:t>
          </a:r>
          <a:r>
            <a:rPr lang="en-US" altLang="ja-JP" sz="10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T6010901009216</a:t>
          </a:r>
          <a:endParaRPr lang="ja-JP" altLang="en-US" sz="10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31</xdr:row>
      <xdr:rowOff>38100</xdr:rowOff>
    </xdr:from>
    <xdr:to>
      <xdr:col>2</xdr:col>
      <xdr:colOff>847725</xdr:colOff>
      <xdr:row>32</xdr:row>
      <xdr:rowOff>19050</xdr:rowOff>
    </xdr:to>
    <xdr:pic>
      <xdr:nvPicPr>
        <xdr:cNvPr id="5513" name="Picture 1" descr="日紘建装(横)">
          <a:extLst>
            <a:ext uri="{FF2B5EF4-FFF2-40B4-BE49-F238E27FC236}">
              <a16:creationId xmlns:a16="http://schemas.microsoft.com/office/drawing/2014/main" id="{00000000-0008-0000-04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48750"/>
          <a:ext cx="21336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30</xdr:row>
      <xdr:rowOff>38100</xdr:rowOff>
    </xdr:from>
    <xdr:to>
      <xdr:col>1</xdr:col>
      <xdr:colOff>190500</xdr:colOff>
      <xdr:row>32</xdr:row>
      <xdr:rowOff>76200</xdr:rowOff>
    </xdr:to>
    <xdr:pic>
      <xdr:nvPicPr>
        <xdr:cNvPr id="5514" name="Picture 2" descr="日紘建装マーク">
          <a:extLst>
            <a:ext uri="{FF2B5EF4-FFF2-40B4-BE49-F238E27FC236}">
              <a16:creationId xmlns:a16="http://schemas.microsoft.com/office/drawing/2014/main" id="{00000000-0008-0000-0400-00008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953500"/>
          <a:ext cx="2952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31</xdr:row>
      <xdr:rowOff>38100</xdr:rowOff>
    </xdr:from>
    <xdr:to>
      <xdr:col>2</xdr:col>
      <xdr:colOff>847725</xdr:colOff>
      <xdr:row>32</xdr:row>
      <xdr:rowOff>19050</xdr:rowOff>
    </xdr:to>
    <xdr:pic>
      <xdr:nvPicPr>
        <xdr:cNvPr id="5515" name="Picture 3" descr="日紘建装(横)">
          <a:extLst>
            <a:ext uri="{FF2B5EF4-FFF2-40B4-BE49-F238E27FC236}">
              <a16:creationId xmlns:a16="http://schemas.microsoft.com/office/drawing/2014/main" id="{00000000-0008-0000-0400-00008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48750"/>
          <a:ext cx="21336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30</xdr:row>
      <xdr:rowOff>38100</xdr:rowOff>
    </xdr:from>
    <xdr:to>
      <xdr:col>1</xdr:col>
      <xdr:colOff>190500</xdr:colOff>
      <xdr:row>32</xdr:row>
      <xdr:rowOff>76200</xdr:rowOff>
    </xdr:to>
    <xdr:pic>
      <xdr:nvPicPr>
        <xdr:cNvPr id="5516" name="Picture 4" descr="日紘建装マーク">
          <a:extLst>
            <a:ext uri="{FF2B5EF4-FFF2-40B4-BE49-F238E27FC236}">
              <a16:creationId xmlns:a16="http://schemas.microsoft.com/office/drawing/2014/main" id="{00000000-0008-0000-0400-00008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953500"/>
          <a:ext cx="2952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8"/>
  <sheetViews>
    <sheetView showZeros="0" workbookViewId="0">
      <selection activeCell="B12" sqref="B12:C12"/>
    </sheetView>
  </sheetViews>
  <sheetFormatPr defaultColWidth="9" defaultRowHeight="13.5"/>
  <cols>
    <col min="1" max="9" width="10.375" style="58" customWidth="1"/>
    <col min="10" max="16384" width="9" style="58"/>
  </cols>
  <sheetData>
    <row r="1" spans="1:17" ht="27" customHeight="1">
      <c r="A1" s="56" t="s">
        <v>43</v>
      </c>
      <c r="B1" s="236">
        <f ca="1">TODAY()</f>
        <v>46065</v>
      </c>
      <c r="C1" s="236"/>
      <c r="D1" s="236"/>
      <c r="E1" s="57"/>
      <c r="F1" s="57"/>
      <c r="G1" s="56" t="s">
        <v>44</v>
      </c>
      <c r="H1" s="221" t="str">
        <f>見積書!H8</f>
        <v>伊藤　隆一</v>
      </c>
      <c r="I1" s="221"/>
    </row>
    <row r="2" spans="1:17" ht="3.75" customHeight="1"/>
    <row r="3" spans="1:17" ht="33" customHeight="1">
      <c r="A3" s="59" t="s">
        <v>140</v>
      </c>
      <c r="B3" s="231" t="str">
        <f>見積書!H5</f>
        <v>住吉屋様邸 改修工事</v>
      </c>
      <c r="C3" s="232"/>
      <c r="D3" s="233"/>
      <c r="E3" s="59" t="s">
        <v>45</v>
      </c>
      <c r="F3" s="226" t="str">
        <f>見積書!H4</f>
        <v>神奈川県横浜市旭区希望ヶ丘230-9</v>
      </c>
      <c r="G3" s="227"/>
      <c r="H3" s="227"/>
      <c r="I3" s="228"/>
    </row>
    <row r="4" spans="1:17" ht="33" customHeight="1">
      <c r="A4" s="59" t="s">
        <v>29</v>
      </c>
      <c r="B4" s="224" t="str">
        <f>B8</f>
        <v>住林林業ホームテック㈱</v>
      </c>
      <c r="C4" s="225"/>
      <c r="D4" s="59" t="s">
        <v>46</v>
      </c>
      <c r="E4" s="234"/>
      <c r="F4" s="235"/>
      <c r="G4" s="59" t="s">
        <v>47</v>
      </c>
      <c r="H4" s="243"/>
      <c r="I4" s="244"/>
      <c r="K4" s="239" t="s">
        <v>141</v>
      </c>
      <c r="L4" s="239"/>
      <c r="M4" s="239"/>
      <c r="N4" s="239"/>
      <c r="O4" s="239"/>
      <c r="P4" s="239"/>
      <c r="Q4" s="239"/>
    </row>
    <row r="5" spans="1:17" ht="33" customHeight="1">
      <c r="A5" s="59" t="s">
        <v>35</v>
      </c>
      <c r="B5" s="229" t="str">
        <f>E10</f>
        <v>　</v>
      </c>
      <c r="C5" s="230"/>
      <c r="D5" s="230"/>
      <c r="E5" s="242" t="s">
        <v>63</v>
      </c>
      <c r="F5" s="242"/>
      <c r="G5" s="240"/>
      <c r="H5" s="240"/>
      <c r="I5" s="241"/>
      <c r="K5" s="239"/>
      <c r="L5" s="239"/>
      <c r="M5" s="239"/>
      <c r="N5" s="239"/>
      <c r="O5" s="239"/>
      <c r="P5" s="239"/>
      <c r="Q5" s="239"/>
    </row>
    <row r="6" spans="1:17" ht="33" customHeight="1">
      <c r="A6" s="59" t="s">
        <v>42</v>
      </c>
      <c r="B6" s="234"/>
      <c r="C6" s="235"/>
      <c r="D6" s="60" t="s">
        <v>57</v>
      </c>
      <c r="E6" s="61" t="s">
        <v>58</v>
      </c>
      <c r="F6" s="62" t="s">
        <v>59</v>
      </c>
      <c r="G6" s="59" t="s">
        <v>56</v>
      </c>
      <c r="H6" s="234"/>
      <c r="I6" s="235"/>
    </row>
    <row r="7" spans="1:17" ht="22.5" customHeight="1">
      <c r="A7" s="63" t="s">
        <v>48</v>
      </c>
    </row>
    <row r="8" spans="1:17" ht="33" customHeight="1">
      <c r="A8" s="59" t="s">
        <v>38</v>
      </c>
      <c r="B8" s="224" t="str">
        <f>見積書!A4</f>
        <v>住林林業ホームテック㈱</v>
      </c>
      <c r="C8" s="225"/>
      <c r="D8" s="59" t="s">
        <v>46</v>
      </c>
      <c r="E8" s="248" t="str">
        <f>見積書!B5</f>
        <v>吉田</v>
      </c>
      <c r="F8" s="249"/>
      <c r="G8" s="59" t="s">
        <v>40</v>
      </c>
      <c r="H8" s="64" t="s">
        <v>51</v>
      </c>
      <c r="I8" s="65" t="s">
        <v>52</v>
      </c>
    </row>
    <row r="9" spans="1:17" ht="33" customHeight="1">
      <c r="A9" s="59" t="s">
        <v>36</v>
      </c>
      <c r="B9" s="246">
        <f>見積書!B7</f>
        <v>3806000</v>
      </c>
      <c r="C9" s="247"/>
      <c r="D9" s="66" t="s">
        <v>39</v>
      </c>
      <c r="E9" s="248"/>
      <c r="F9" s="249"/>
      <c r="G9" s="66" t="s">
        <v>41</v>
      </c>
      <c r="H9" s="246">
        <f>請求書!B7</f>
        <v>0</v>
      </c>
      <c r="I9" s="247"/>
    </row>
    <row r="10" spans="1:17" ht="33" customHeight="1">
      <c r="A10" s="59" t="s">
        <v>53</v>
      </c>
      <c r="B10" s="222">
        <f>見積書!H1</f>
        <v>44969</v>
      </c>
      <c r="C10" s="223"/>
      <c r="D10" s="59" t="s">
        <v>55</v>
      </c>
      <c r="E10" s="222" t="str">
        <f>見積書!H7</f>
        <v>　</v>
      </c>
      <c r="F10" s="223"/>
      <c r="G10" s="66" t="s">
        <v>54</v>
      </c>
      <c r="H10" s="222">
        <f>請求書!H1</f>
        <v>45200</v>
      </c>
      <c r="I10" s="223"/>
    </row>
    <row r="11" spans="1:17" ht="22.5" customHeight="1">
      <c r="A11" s="63" t="s">
        <v>86</v>
      </c>
      <c r="H11" s="245"/>
      <c r="I11" s="245"/>
    </row>
    <row r="12" spans="1:17" ht="27" customHeight="1">
      <c r="A12" s="67" t="s">
        <v>144</v>
      </c>
      <c r="B12" s="237"/>
      <c r="C12" s="238"/>
      <c r="D12" s="68"/>
      <c r="E12" s="68"/>
      <c r="F12" s="68"/>
      <c r="G12" s="68"/>
      <c r="H12" s="68"/>
      <c r="I12" s="69"/>
    </row>
    <row r="13" spans="1:17" ht="27" customHeight="1">
      <c r="A13" s="70"/>
      <c r="B13" s="71"/>
      <c r="C13" s="71"/>
      <c r="D13" s="72"/>
      <c r="E13" s="72"/>
      <c r="F13" s="72"/>
      <c r="G13" s="72"/>
      <c r="H13" s="72"/>
      <c r="I13" s="73"/>
    </row>
    <row r="14" spans="1:17" ht="27" customHeight="1">
      <c r="A14" s="74"/>
      <c r="B14" s="75"/>
      <c r="C14" s="75"/>
      <c r="D14" s="75"/>
      <c r="E14" s="75"/>
      <c r="F14" s="75"/>
      <c r="G14" s="75"/>
      <c r="H14" s="75"/>
      <c r="I14" s="76"/>
    </row>
    <row r="15" spans="1:17" ht="22.5" customHeight="1">
      <c r="A15" s="63" t="s">
        <v>49</v>
      </c>
    </row>
    <row r="16" spans="1:17" ht="27" customHeight="1">
      <c r="A16" s="77"/>
      <c r="B16" s="68"/>
      <c r="C16" s="68"/>
      <c r="D16" s="68"/>
      <c r="E16" s="68"/>
      <c r="F16" s="68"/>
      <c r="G16" s="68"/>
      <c r="H16" s="68"/>
      <c r="I16" s="69"/>
    </row>
    <row r="17" spans="1:9" ht="27" customHeight="1">
      <c r="A17" s="78"/>
      <c r="B17" s="72"/>
      <c r="C17" s="72"/>
      <c r="D17" s="72"/>
      <c r="E17" s="72"/>
      <c r="F17" s="72"/>
      <c r="G17" s="72"/>
      <c r="H17" s="72"/>
      <c r="I17" s="73"/>
    </row>
    <row r="18" spans="1:9" ht="27" customHeight="1">
      <c r="A18" s="78"/>
      <c r="B18" s="72"/>
      <c r="C18" s="72"/>
      <c r="D18" s="72"/>
      <c r="E18" s="72"/>
      <c r="F18" s="72"/>
      <c r="G18" s="72"/>
      <c r="H18" s="72"/>
      <c r="I18" s="73"/>
    </row>
    <row r="19" spans="1:9" ht="27" customHeight="1">
      <c r="A19" s="79"/>
      <c r="B19" s="80"/>
      <c r="C19" s="80"/>
      <c r="D19" s="80"/>
      <c r="E19" s="80"/>
      <c r="F19" s="80"/>
      <c r="G19" s="80"/>
      <c r="H19" s="80"/>
      <c r="I19" s="81"/>
    </row>
    <row r="20" spans="1:9" ht="22.5" customHeight="1">
      <c r="A20" s="82" t="s">
        <v>37</v>
      </c>
      <c r="B20" s="83"/>
      <c r="C20" s="83"/>
      <c r="D20" s="83"/>
      <c r="E20" s="83"/>
      <c r="F20" s="83"/>
      <c r="G20" s="83"/>
      <c r="H20" s="83"/>
      <c r="I20" s="83"/>
    </row>
    <row r="21" spans="1:9" ht="27" customHeight="1">
      <c r="A21" s="84"/>
      <c r="B21" s="71"/>
      <c r="C21" s="71"/>
      <c r="D21" s="71"/>
      <c r="E21" s="71"/>
      <c r="F21" s="71"/>
      <c r="G21" s="71"/>
      <c r="H21" s="71"/>
      <c r="I21" s="85"/>
    </row>
    <row r="22" spans="1:9" ht="27" customHeight="1">
      <c r="A22" s="86"/>
      <c r="B22" s="72"/>
      <c r="C22" s="72"/>
      <c r="D22" s="72"/>
      <c r="E22" s="72"/>
      <c r="F22" s="72"/>
      <c r="G22" s="72"/>
      <c r="H22" s="72"/>
      <c r="I22" s="73"/>
    </row>
    <row r="23" spans="1:9" ht="27" customHeight="1">
      <c r="A23" s="74"/>
      <c r="B23" s="75"/>
      <c r="C23" s="75"/>
      <c r="D23" s="75"/>
      <c r="E23" s="75"/>
      <c r="F23" s="75"/>
      <c r="G23" s="75"/>
      <c r="H23" s="75"/>
      <c r="I23" s="76"/>
    </row>
    <row r="24" spans="1:9" ht="18.75" customHeight="1">
      <c r="A24" s="63" t="s">
        <v>50</v>
      </c>
    </row>
    <row r="25" spans="1:9" s="88" customFormat="1" ht="21" customHeight="1">
      <c r="A25" s="87" t="s">
        <v>136</v>
      </c>
      <c r="B25" s="87" t="s">
        <v>156</v>
      </c>
      <c r="C25" s="87" t="s">
        <v>137</v>
      </c>
      <c r="D25" s="87" t="s">
        <v>148</v>
      </c>
      <c r="E25" s="87" t="s">
        <v>138</v>
      </c>
      <c r="F25" s="87" t="s">
        <v>145</v>
      </c>
      <c r="G25" s="87" t="s">
        <v>142</v>
      </c>
      <c r="H25" s="87" t="s">
        <v>143</v>
      </c>
      <c r="I25" s="87"/>
    </row>
    <row r="26" spans="1:9" s="90" customFormat="1" ht="69" customHeight="1">
      <c r="A26" s="89"/>
      <c r="B26" s="89"/>
      <c r="C26" s="89"/>
      <c r="D26" s="89"/>
      <c r="E26" s="89"/>
      <c r="F26" s="164"/>
      <c r="G26" s="89"/>
      <c r="H26" s="89"/>
      <c r="I26" s="89"/>
    </row>
    <row r="27" spans="1:9" s="88" customFormat="1" ht="21" customHeight="1">
      <c r="A27" s="87"/>
      <c r="B27" s="87"/>
      <c r="C27" s="87"/>
      <c r="D27" s="87"/>
      <c r="E27" s="87"/>
      <c r="F27" s="87"/>
      <c r="G27" s="87"/>
      <c r="H27" s="87"/>
      <c r="I27" s="87" t="s">
        <v>44</v>
      </c>
    </row>
    <row r="28" spans="1:9" s="90" customFormat="1" ht="69" customHeight="1">
      <c r="A28" s="89"/>
      <c r="B28" s="89"/>
      <c r="C28" s="89"/>
      <c r="D28" s="89"/>
      <c r="E28" s="89"/>
      <c r="F28" s="89"/>
      <c r="G28" s="89"/>
      <c r="H28" s="89"/>
      <c r="I28" s="89"/>
    </row>
  </sheetData>
  <mergeCells count="23">
    <mergeCell ref="B12:C12"/>
    <mergeCell ref="K4:Q5"/>
    <mergeCell ref="G5:I5"/>
    <mergeCell ref="E5:F5"/>
    <mergeCell ref="E4:F4"/>
    <mergeCell ref="H4:I4"/>
    <mergeCell ref="H11:I11"/>
    <mergeCell ref="B9:C9"/>
    <mergeCell ref="E9:F9"/>
    <mergeCell ref="H9:I9"/>
    <mergeCell ref="E8:F8"/>
    <mergeCell ref="H6:I6"/>
    <mergeCell ref="B8:C8"/>
    <mergeCell ref="H1:I1"/>
    <mergeCell ref="B10:C10"/>
    <mergeCell ref="E10:F10"/>
    <mergeCell ref="H10:I10"/>
    <mergeCell ref="B4:C4"/>
    <mergeCell ref="F3:I3"/>
    <mergeCell ref="B5:D5"/>
    <mergeCell ref="B3:D3"/>
    <mergeCell ref="B6:C6"/>
    <mergeCell ref="B1:D1"/>
  </mergeCells>
  <phoneticPr fontId="2"/>
  <dataValidations xWindow="348" yWindow="274" count="1">
    <dataValidation allowBlank="1" showErrorMessage="1" sqref="B3" xr:uid="{00000000-0002-0000-0000-000000000000}"/>
  </dataValidations>
  <printOptions horizontalCentered="1"/>
  <pageMargins left="0.59055118110236227" right="0.39370078740157483" top="0.59055118110236227" bottom="0.59055118110236227" header="0" footer="0"/>
  <pageSetup paperSize="9" orientation="portrait" horizontalDpi="4294967292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1"/>
  <sheetViews>
    <sheetView showZeros="0" topLeftCell="A4" zoomScaleNormal="91" workbookViewId="0">
      <selection activeCell="A10" sqref="A10:B10"/>
    </sheetView>
  </sheetViews>
  <sheetFormatPr defaultColWidth="9" defaultRowHeight="13.5"/>
  <cols>
    <col min="1" max="1" width="5.125" customWidth="1"/>
    <col min="2" max="2" width="24.125" customWidth="1"/>
    <col min="3" max="3" width="24.375" customWidth="1"/>
    <col min="4" max="4" width="13.625" customWidth="1"/>
    <col min="5" max="5" width="6" customWidth="1"/>
    <col min="6" max="6" width="13.625" customWidth="1"/>
    <col min="7" max="7" width="18.125" customWidth="1"/>
    <col min="8" max="8" width="27.25" customWidth="1"/>
  </cols>
  <sheetData>
    <row r="1" spans="1:8" ht="14.25">
      <c r="H1" s="4">
        <v>44969</v>
      </c>
    </row>
    <row r="2" spans="1:8" ht="32.85" customHeight="1">
      <c r="A2" s="253" t="s">
        <v>8</v>
      </c>
      <c r="B2" s="253"/>
      <c r="C2" s="253"/>
      <c r="D2" s="253"/>
      <c r="E2" s="253"/>
      <c r="F2" s="253"/>
      <c r="G2" s="253"/>
      <c r="H2" s="253"/>
    </row>
    <row r="4" spans="1:8" ht="24.2" customHeight="1">
      <c r="A4" s="258" t="s">
        <v>204</v>
      </c>
      <c r="B4" s="258"/>
      <c r="C4" s="5" t="s">
        <v>61</v>
      </c>
      <c r="D4" s="6"/>
      <c r="E4" s="6"/>
      <c r="F4" s="6"/>
      <c r="G4" s="7" t="s">
        <v>60</v>
      </c>
      <c r="H4" s="54" t="s">
        <v>206</v>
      </c>
    </row>
    <row r="5" spans="1:8">
      <c r="B5" s="8" t="s">
        <v>205</v>
      </c>
      <c r="D5" s="255"/>
      <c r="E5" s="255"/>
      <c r="F5" s="255"/>
      <c r="G5" s="250" t="s">
        <v>26</v>
      </c>
      <c r="H5" s="259" t="s">
        <v>207</v>
      </c>
    </row>
    <row r="6" spans="1:8" ht="14.25">
      <c r="B6" s="9" t="s">
        <v>1</v>
      </c>
      <c r="D6" s="254"/>
      <c r="E6" s="254"/>
      <c r="F6" s="254"/>
      <c r="G6" s="250"/>
      <c r="H6" s="260"/>
    </row>
    <row r="7" spans="1:8" ht="18.75">
      <c r="B7" s="10">
        <f>G21</f>
        <v>3806000</v>
      </c>
      <c r="D7" s="255"/>
      <c r="E7" s="255"/>
      <c r="F7" s="255"/>
      <c r="G7" s="7" t="s">
        <v>27</v>
      </c>
      <c r="H7" s="11" t="s">
        <v>154</v>
      </c>
    </row>
    <row r="8" spans="1:8" ht="19.5" customHeight="1">
      <c r="D8" s="256"/>
      <c r="E8" s="256"/>
      <c r="F8" s="256"/>
      <c r="G8" s="7" t="s">
        <v>28</v>
      </c>
      <c r="H8" s="55" t="s">
        <v>155</v>
      </c>
    </row>
    <row r="9" spans="1:8" ht="16.5" customHeight="1">
      <c r="A9" s="257" t="s">
        <v>157</v>
      </c>
      <c r="B9" s="257"/>
      <c r="C9" s="257"/>
      <c r="D9" s="257"/>
      <c r="E9" s="257"/>
      <c r="F9" s="257"/>
      <c r="G9" s="257"/>
      <c r="H9" s="257"/>
    </row>
    <row r="10" spans="1:8" ht="14.25">
      <c r="A10" s="251" t="s">
        <v>7</v>
      </c>
      <c r="B10" s="252"/>
      <c r="C10" s="12" t="s">
        <v>6</v>
      </c>
      <c r="D10" s="12" t="s">
        <v>5</v>
      </c>
      <c r="E10" s="12" t="s">
        <v>0</v>
      </c>
      <c r="F10" s="12" t="s">
        <v>4</v>
      </c>
      <c r="G10" s="12" t="s">
        <v>3</v>
      </c>
      <c r="H10" s="12" t="s">
        <v>2</v>
      </c>
    </row>
    <row r="11" spans="1:8" ht="34.5" customHeight="1">
      <c r="A11" s="13"/>
      <c r="B11" s="14" t="s">
        <v>208</v>
      </c>
      <c r="C11" s="14"/>
      <c r="D11" s="15">
        <v>1</v>
      </c>
      <c r="E11" s="16" t="s">
        <v>12</v>
      </c>
      <c r="F11" s="17"/>
      <c r="G11" s="17">
        <f>内訳!G11+内訳!G35+内訳!G40+内訳!G42</f>
        <v>3467015</v>
      </c>
      <c r="H11" s="18"/>
    </row>
    <row r="12" spans="1:8" ht="34.5" customHeight="1">
      <c r="A12" s="13"/>
      <c r="B12" s="14"/>
      <c r="C12" s="14"/>
      <c r="D12" s="15"/>
      <c r="E12" s="16"/>
      <c r="F12" s="17"/>
      <c r="G12" s="17"/>
      <c r="H12" s="18"/>
    </row>
    <row r="13" spans="1:8" ht="34.5" customHeight="1">
      <c r="A13" s="13"/>
      <c r="B13" s="14"/>
      <c r="C13" s="14"/>
      <c r="D13" s="15"/>
      <c r="E13" s="16"/>
      <c r="F13" s="17"/>
      <c r="G13" s="17"/>
      <c r="H13" s="18"/>
    </row>
    <row r="14" spans="1:8" ht="34.5" customHeight="1">
      <c r="A14" s="13"/>
      <c r="B14" s="14"/>
      <c r="C14" s="14"/>
      <c r="D14" s="15"/>
      <c r="E14" s="16"/>
      <c r="F14" s="17"/>
      <c r="G14" s="19"/>
      <c r="H14" s="18"/>
    </row>
    <row r="15" spans="1:8" ht="34.5" customHeight="1">
      <c r="A15" s="13"/>
      <c r="B15" s="14"/>
      <c r="C15" s="14"/>
      <c r="D15" s="15"/>
      <c r="E15" s="16"/>
      <c r="F15" s="17"/>
      <c r="G15" s="17"/>
      <c r="H15" s="18"/>
    </row>
    <row r="16" spans="1:8" ht="34.5" customHeight="1">
      <c r="A16" s="13"/>
      <c r="B16" s="14"/>
      <c r="C16" s="14"/>
      <c r="D16" s="15"/>
      <c r="E16" s="16"/>
      <c r="F16" s="17"/>
      <c r="G16" s="17"/>
      <c r="H16" s="18"/>
    </row>
    <row r="17" spans="1:8" ht="34.5" customHeight="1">
      <c r="A17" s="13"/>
      <c r="B17" s="14"/>
      <c r="C17" s="14"/>
      <c r="D17" s="15"/>
      <c r="E17" s="16"/>
      <c r="F17" s="17"/>
      <c r="G17" s="17"/>
      <c r="H17" s="18"/>
    </row>
    <row r="18" spans="1:8" ht="34.5" customHeight="1">
      <c r="A18" s="13"/>
      <c r="B18" s="14" t="s">
        <v>11</v>
      </c>
      <c r="C18" s="14"/>
      <c r="D18" s="15"/>
      <c r="E18" s="16"/>
      <c r="F18" s="17"/>
      <c r="G18" s="17">
        <v>-7015</v>
      </c>
      <c r="H18" s="18"/>
    </row>
    <row r="19" spans="1:8" ht="34.5" customHeight="1">
      <c r="A19" s="13"/>
      <c r="B19" s="14" t="s">
        <v>15</v>
      </c>
      <c r="C19" s="14"/>
      <c r="D19" s="15"/>
      <c r="E19" s="16"/>
      <c r="F19" s="17"/>
      <c r="G19" s="17">
        <f>SUBTOTAL(9,G$11:G18)</f>
        <v>3460000</v>
      </c>
      <c r="H19" s="18"/>
    </row>
    <row r="20" spans="1:8" ht="34.5" customHeight="1">
      <c r="A20" s="13"/>
      <c r="B20" s="14" t="s">
        <v>152</v>
      </c>
      <c r="C20" s="14"/>
      <c r="D20" s="15">
        <v>10</v>
      </c>
      <c r="E20" s="16" t="s">
        <v>153</v>
      </c>
      <c r="F20" s="17"/>
      <c r="G20" s="17">
        <f>G19*D20/100</f>
        <v>346000</v>
      </c>
      <c r="H20" s="18"/>
    </row>
    <row r="21" spans="1:8" s="2" customFormat="1" ht="34.5" customHeight="1">
      <c r="A21" s="20"/>
      <c r="B21" s="21" t="s">
        <v>9</v>
      </c>
      <c r="C21" s="22"/>
      <c r="D21" s="23"/>
      <c r="E21" s="21"/>
      <c r="F21" s="24"/>
      <c r="G21" s="25">
        <f>SUBTOTAL(9,G$11:G20)</f>
        <v>3806000</v>
      </c>
      <c r="H21" s="26"/>
    </row>
  </sheetData>
  <mergeCells count="10">
    <mergeCell ref="G5:G6"/>
    <mergeCell ref="A10:B10"/>
    <mergeCell ref="A2:H2"/>
    <mergeCell ref="D6:F6"/>
    <mergeCell ref="D7:F7"/>
    <mergeCell ref="D8:F8"/>
    <mergeCell ref="D5:F5"/>
    <mergeCell ref="A9:H9"/>
    <mergeCell ref="A4:B4"/>
    <mergeCell ref="H5:H6"/>
  </mergeCells>
  <phoneticPr fontId="2"/>
  <dataValidations xWindow="395" yWindow="395" count="3">
    <dataValidation imeMode="hiragana" allowBlank="1" showInputMessage="1" showErrorMessage="1" sqref="H11:H21 E11:E21 B11:B21 C12:C21" xr:uid="{00000000-0002-0000-0100-000000000000}"/>
    <dataValidation imeMode="off" allowBlank="1" showInputMessage="1" showErrorMessage="1" sqref="D11:D21 F11:G21" xr:uid="{00000000-0002-0000-0100-000001000000}"/>
    <dataValidation imeMode="hiragana" allowBlank="1" showInputMessage="1" showErrorMessage="1" promptTitle="注意" prompt="ひとつのセルの中に文章を２行に分けて書き込みたい場合は改行するところで、｢Ａｌｔ｣キーを押したまま｢Ｅｎｔｅｒ｣キーを押して下さい。" sqref="C11" xr:uid="{00000000-0002-0000-0100-000002000000}"/>
  </dataValidations>
  <printOptions horizontalCentered="1" verticalCentered="1"/>
  <pageMargins left="0.59055118110236227" right="0.59055118110236227" top="0.39370078740157483" bottom="0.39370078740157483" header="0" footer="0"/>
  <pageSetup paperSize="9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2"/>
  <sheetViews>
    <sheetView showZeros="0" tabSelected="1" topLeftCell="A43" zoomScaleNormal="100" workbookViewId="0">
      <selection activeCell="H53" sqref="H53"/>
    </sheetView>
  </sheetViews>
  <sheetFormatPr defaultColWidth="9" defaultRowHeight="30.95" customHeight="1"/>
  <cols>
    <col min="1" max="1" width="5.125" style="3" customWidth="1"/>
    <col min="2" max="2" width="24.125" style="3" customWidth="1"/>
    <col min="3" max="3" width="24.375" style="32" customWidth="1"/>
    <col min="4" max="4" width="13.625" style="33" customWidth="1"/>
    <col min="5" max="5" width="6" style="29" customWidth="1"/>
    <col min="6" max="6" width="13.625" style="34" customWidth="1"/>
    <col min="7" max="7" width="18.125" style="34" customWidth="1"/>
    <col min="8" max="8" width="27.25" style="3" customWidth="1"/>
  </cols>
  <sheetData>
    <row r="1" spans="1:8" s="31" customFormat="1" ht="13.5" customHeight="1">
      <c r="A1" s="261" t="s">
        <v>22</v>
      </c>
      <c r="B1" s="262"/>
      <c r="C1" s="27" t="s">
        <v>23</v>
      </c>
      <c r="D1" s="28" t="s">
        <v>24</v>
      </c>
      <c r="E1" s="29" t="s">
        <v>0</v>
      </c>
      <c r="F1" s="30" t="s">
        <v>25</v>
      </c>
      <c r="G1" s="30" t="s">
        <v>3</v>
      </c>
      <c r="H1" s="29" t="s">
        <v>21</v>
      </c>
    </row>
    <row r="2" spans="1:8" ht="30.95" customHeight="1">
      <c r="A2" s="345">
        <f>ROW()-1</f>
        <v>1</v>
      </c>
      <c r="B2" s="346" t="s">
        <v>158</v>
      </c>
      <c r="G2" s="34">
        <f t="shared" ref="G2:G18" si="0">D2*F2</f>
        <v>0</v>
      </c>
      <c r="H2" s="32"/>
    </row>
    <row r="3" spans="1:8" ht="30.95" customHeight="1">
      <c r="B3" s="32" t="s">
        <v>159</v>
      </c>
      <c r="C3" s="32" t="s">
        <v>160</v>
      </c>
      <c r="D3" s="33">
        <v>430</v>
      </c>
      <c r="E3" s="29" t="s">
        <v>30</v>
      </c>
      <c r="F3" s="34">
        <v>1050</v>
      </c>
      <c r="G3" s="34">
        <f t="shared" si="0"/>
        <v>451500</v>
      </c>
      <c r="H3" s="32"/>
    </row>
    <row r="4" spans="1:8" ht="30.95" customHeight="1">
      <c r="B4" s="32" t="s">
        <v>161</v>
      </c>
      <c r="C4" s="32" t="s">
        <v>162</v>
      </c>
      <c r="D4" s="33">
        <v>189.9</v>
      </c>
      <c r="E4" s="29" t="s">
        <v>30</v>
      </c>
      <c r="F4" s="34">
        <v>850</v>
      </c>
      <c r="G4" s="34">
        <f t="shared" si="0"/>
        <v>161415</v>
      </c>
      <c r="H4" s="32"/>
    </row>
    <row r="5" spans="1:8" ht="30.95" customHeight="1">
      <c r="B5" s="32" t="s">
        <v>163</v>
      </c>
      <c r="D5" s="33">
        <v>1</v>
      </c>
      <c r="E5" s="29" t="s">
        <v>12</v>
      </c>
      <c r="F5" s="34">
        <v>15000</v>
      </c>
      <c r="G5" s="34">
        <f t="shared" si="0"/>
        <v>15000</v>
      </c>
      <c r="H5" s="32"/>
    </row>
    <row r="6" spans="1:8" ht="30.95" customHeight="1">
      <c r="B6" s="32" t="s">
        <v>164</v>
      </c>
      <c r="C6" s="32" t="s">
        <v>165</v>
      </c>
      <c r="D6" s="33">
        <v>1</v>
      </c>
      <c r="E6" s="29" t="s">
        <v>12</v>
      </c>
      <c r="F6" s="34">
        <v>35000</v>
      </c>
      <c r="G6" s="34">
        <f t="shared" si="0"/>
        <v>35000</v>
      </c>
      <c r="H6" s="32"/>
    </row>
    <row r="7" spans="1:8" ht="30.95" customHeight="1">
      <c r="B7" s="32" t="s">
        <v>166</v>
      </c>
      <c r="D7" s="33">
        <v>1</v>
      </c>
      <c r="E7" s="29" t="s">
        <v>12</v>
      </c>
      <c r="F7" s="34">
        <v>15000</v>
      </c>
      <c r="G7" s="34">
        <f t="shared" si="0"/>
        <v>15000</v>
      </c>
      <c r="H7" s="32"/>
    </row>
    <row r="8" spans="1:8" ht="30.95" customHeight="1">
      <c r="B8" s="32" t="s">
        <v>167</v>
      </c>
      <c r="C8" s="32" t="s">
        <v>168</v>
      </c>
      <c r="D8" s="33">
        <v>4</v>
      </c>
      <c r="E8" s="29" t="s">
        <v>169</v>
      </c>
      <c r="F8" s="34">
        <v>24000</v>
      </c>
      <c r="G8" s="34">
        <f t="shared" si="0"/>
        <v>96000</v>
      </c>
      <c r="H8" s="32"/>
    </row>
    <row r="9" spans="1:8" ht="30.95" customHeight="1">
      <c r="B9" s="32" t="s">
        <v>170</v>
      </c>
      <c r="E9" s="29" t="s">
        <v>171</v>
      </c>
      <c r="F9" s="34">
        <v>50000</v>
      </c>
      <c r="G9" s="34">
        <f t="shared" si="0"/>
        <v>0</v>
      </c>
      <c r="H9" s="32"/>
    </row>
    <row r="10" spans="1:8" ht="30.95" customHeight="1">
      <c r="B10" s="32" t="s">
        <v>172</v>
      </c>
      <c r="D10" s="33">
        <v>1</v>
      </c>
      <c r="E10" s="29" t="s">
        <v>12</v>
      </c>
      <c r="F10" s="34">
        <v>80000</v>
      </c>
      <c r="G10" s="34">
        <f t="shared" si="0"/>
        <v>80000</v>
      </c>
      <c r="H10" s="32"/>
    </row>
    <row r="11" spans="1:8" ht="30.95" customHeight="1">
      <c r="B11" s="32" t="s">
        <v>173</v>
      </c>
      <c r="G11" s="34">
        <f>SUM(G3:G10)</f>
        <v>853915</v>
      </c>
      <c r="H11" s="32"/>
    </row>
    <row r="12" spans="1:8" ht="30.95" customHeight="1">
      <c r="B12" s="32"/>
      <c r="G12" s="34">
        <f t="shared" si="0"/>
        <v>0</v>
      </c>
      <c r="H12" s="32"/>
    </row>
    <row r="13" spans="1:8" ht="30.95" customHeight="1">
      <c r="B13" s="32"/>
      <c r="G13" s="34">
        <f t="shared" si="0"/>
        <v>0</v>
      </c>
      <c r="H13" s="32"/>
    </row>
    <row r="14" spans="1:8" ht="30.95" customHeight="1">
      <c r="B14" s="32"/>
      <c r="G14" s="34">
        <f t="shared" si="0"/>
        <v>0</v>
      </c>
      <c r="H14" s="32"/>
    </row>
    <row r="15" spans="1:8" ht="30.95" customHeight="1">
      <c r="B15" s="32"/>
      <c r="G15" s="34">
        <f t="shared" si="0"/>
        <v>0</v>
      </c>
      <c r="H15" s="32"/>
    </row>
    <row r="16" spans="1:8" ht="30.95" customHeight="1">
      <c r="B16" s="32"/>
      <c r="G16" s="34">
        <f t="shared" si="0"/>
        <v>0</v>
      </c>
      <c r="H16" s="32"/>
    </row>
    <row r="17" spans="1:8" ht="30.95" customHeight="1">
      <c r="B17" s="32"/>
      <c r="G17" s="34">
        <f t="shared" si="0"/>
        <v>0</v>
      </c>
      <c r="H17" s="32"/>
    </row>
    <row r="18" spans="1:8" ht="30.95" customHeight="1">
      <c r="B18" s="32"/>
      <c r="G18" s="34">
        <f t="shared" si="0"/>
        <v>0</v>
      </c>
      <c r="H18" s="32"/>
    </row>
    <row r="19" spans="1:8" ht="30.95" customHeight="1">
      <c r="A19" s="345">
        <v>2</v>
      </c>
      <c r="B19" s="346" t="s">
        <v>174</v>
      </c>
      <c r="G19" s="34">
        <f t="shared" ref="G19:G39" si="1">D19*F19</f>
        <v>0</v>
      </c>
      <c r="H19" s="32"/>
    </row>
    <row r="20" spans="1:8" ht="30.95" customHeight="1">
      <c r="B20" s="32" t="s">
        <v>175</v>
      </c>
      <c r="D20" s="33">
        <v>189.9</v>
      </c>
      <c r="E20" s="29" t="s">
        <v>30</v>
      </c>
      <c r="F20" s="34">
        <v>200</v>
      </c>
      <c r="G20" s="34">
        <f t="shared" si="1"/>
        <v>37980</v>
      </c>
      <c r="H20" s="32"/>
    </row>
    <row r="21" spans="1:8" ht="30.95" customHeight="1">
      <c r="B21" s="32" t="s">
        <v>176</v>
      </c>
      <c r="C21" s="32" t="s">
        <v>177</v>
      </c>
      <c r="D21" s="33">
        <v>1</v>
      </c>
      <c r="E21" s="29" t="s">
        <v>12</v>
      </c>
      <c r="F21" s="34">
        <v>38000</v>
      </c>
      <c r="G21" s="34">
        <f t="shared" si="1"/>
        <v>38000</v>
      </c>
      <c r="H21" s="32"/>
    </row>
    <row r="22" spans="1:8" ht="30.95" customHeight="1">
      <c r="B22" s="32" t="s">
        <v>178</v>
      </c>
      <c r="C22" s="32" t="s">
        <v>179</v>
      </c>
      <c r="D22" s="33">
        <v>189.9</v>
      </c>
      <c r="E22" s="29" t="s">
        <v>30</v>
      </c>
      <c r="F22" s="34">
        <v>2200</v>
      </c>
      <c r="G22" s="34">
        <f t="shared" si="1"/>
        <v>417780</v>
      </c>
      <c r="H22" s="32"/>
    </row>
    <row r="23" spans="1:8" ht="30.95" customHeight="1">
      <c r="B23" s="32" t="s">
        <v>180</v>
      </c>
      <c r="D23" s="33">
        <v>189.9</v>
      </c>
      <c r="E23" s="29" t="s">
        <v>30</v>
      </c>
      <c r="F23" s="34">
        <v>250</v>
      </c>
      <c r="G23" s="34">
        <f t="shared" si="1"/>
        <v>47475</v>
      </c>
      <c r="H23" s="32"/>
    </row>
    <row r="24" spans="1:8" ht="30.95" customHeight="1">
      <c r="B24" s="32" t="s">
        <v>181</v>
      </c>
      <c r="D24" s="33">
        <v>237.8</v>
      </c>
      <c r="E24" s="29" t="s">
        <v>30</v>
      </c>
      <c r="F24" s="34">
        <v>150</v>
      </c>
      <c r="G24" s="34">
        <f t="shared" si="1"/>
        <v>35670</v>
      </c>
      <c r="H24" s="32"/>
    </row>
    <row r="25" spans="1:8" ht="30.95" customHeight="1">
      <c r="B25" s="32" t="s">
        <v>182</v>
      </c>
      <c r="C25" s="32" t="s">
        <v>183</v>
      </c>
      <c r="D25" s="33">
        <v>237.8</v>
      </c>
      <c r="E25" s="29" t="s">
        <v>30</v>
      </c>
      <c r="F25" s="34">
        <v>4200</v>
      </c>
      <c r="G25" s="34">
        <f t="shared" si="1"/>
        <v>998760</v>
      </c>
      <c r="H25" s="32" t="s">
        <v>184</v>
      </c>
    </row>
    <row r="26" spans="1:8" ht="30.95" customHeight="1">
      <c r="B26" s="32" t="s">
        <v>185</v>
      </c>
      <c r="C26" s="32" t="s">
        <v>177</v>
      </c>
      <c r="D26" s="33">
        <v>82.2</v>
      </c>
      <c r="E26" s="29" t="s">
        <v>186</v>
      </c>
      <c r="F26" s="34">
        <v>650</v>
      </c>
      <c r="G26" s="34">
        <f t="shared" si="1"/>
        <v>53430</v>
      </c>
      <c r="H26" s="32"/>
    </row>
    <row r="27" spans="1:8" ht="30.95" customHeight="1">
      <c r="B27" s="32" t="s">
        <v>187</v>
      </c>
      <c r="C27" s="32" t="s">
        <v>177</v>
      </c>
      <c r="D27" s="33">
        <v>6.1</v>
      </c>
      <c r="E27" s="29" t="s">
        <v>186</v>
      </c>
      <c r="F27" s="34">
        <v>1700</v>
      </c>
      <c r="G27" s="34">
        <f t="shared" si="1"/>
        <v>10370</v>
      </c>
      <c r="H27" s="32"/>
    </row>
    <row r="28" spans="1:8" ht="30.95" customHeight="1">
      <c r="B28" s="32" t="s">
        <v>188</v>
      </c>
      <c r="C28" s="32" t="s">
        <v>189</v>
      </c>
      <c r="D28" s="33">
        <v>1.8</v>
      </c>
      <c r="E28" s="29" t="s">
        <v>186</v>
      </c>
      <c r="F28" s="34">
        <v>750</v>
      </c>
      <c r="G28" s="34">
        <f t="shared" si="1"/>
        <v>1350</v>
      </c>
      <c r="H28" s="32"/>
    </row>
    <row r="29" spans="1:8" ht="30.95" customHeight="1">
      <c r="B29" s="32" t="s">
        <v>190</v>
      </c>
      <c r="C29" s="32" t="s">
        <v>189</v>
      </c>
      <c r="D29" s="33">
        <v>74.599999999999994</v>
      </c>
      <c r="E29" s="29" t="s">
        <v>186</v>
      </c>
      <c r="F29" s="34">
        <v>750</v>
      </c>
      <c r="G29" s="34">
        <f t="shared" si="1"/>
        <v>55949.999999999993</v>
      </c>
      <c r="H29" s="32"/>
    </row>
    <row r="30" spans="1:8" ht="30.95" customHeight="1">
      <c r="B30" s="32" t="s">
        <v>191</v>
      </c>
      <c r="C30" s="32" t="s">
        <v>189</v>
      </c>
      <c r="D30" s="33">
        <v>74.599999999999994</v>
      </c>
      <c r="E30" s="29" t="s">
        <v>186</v>
      </c>
      <c r="F30" s="34">
        <v>950</v>
      </c>
      <c r="G30" s="34">
        <f t="shared" si="1"/>
        <v>70870</v>
      </c>
      <c r="H30" s="32"/>
    </row>
    <row r="31" spans="1:8" ht="30.95" customHeight="1">
      <c r="B31" s="32" t="s">
        <v>192</v>
      </c>
      <c r="C31" s="32" t="s">
        <v>189</v>
      </c>
      <c r="D31" s="33">
        <v>7.5</v>
      </c>
      <c r="E31" s="29" t="s">
        <v>30</v>
      </c>
      <c r="F31" s="34">
        <v>950</v>
      </c>
      <c r="G31" s="34">
        <f t="shared" si="1"/>
        <v>7125</v>
      </c>
      <c r="H31" s="32"/>
    </row>
    <row r="32" spans="1:8" ht="30.95" customHeight="1">
      <c r="B32" s="32" t="s">
        <v>193</v>
      </c>
      <c r="C32" s="32" t="s">
        <v>189</v>
      </c>
      <c r="D32" s="33">
        <v>92.4</v>
      </c>
      <c r="E32" s="29" t="s">
        <v>186</v>
      </c>
      <c r="F32" s="34">
        <v>650</v>
      </c>
      <c r="G32" s="34">
        <f t="shared" si="1"/>
        <v>60060.000000000007</v>
      </c>
      <c r="H32" s="32"/>
    </row>
    <row r="33" spans="1:8" ht="30.95" customHeight="1">
      <c r="B33" s="32" t="s">
        <v>194</v>
      </c>
      <c r="C33" s="32" t="s">
        <v>177</v>
      </c>
      <c r="D33" s="33">
        <v>20.9</v>
      </c>
      <c r="E33" s="29" t="s">
        <v>186</v>
      </c>
      <c r="F33" s="34">
        <v>1700</v>
      </c>
      <c r="G33" s="34">
        <f t="shared" si="1"/>
        <v>35530</v>
      </c>
      <c r="H33" s="32"/>
    </row>
    <row r="34" spans="1:8" ht="30.95" customHeight="1">
      <c r="B34" s="32" t="s">
        <v>195</v>
      </c>
      <c r="C34" s="32" t="s">
        <v>196</v>
      </c>
      <c r="D34" s="33">
        <v>1</v>
      </c>
      <c r="E34" s="29" t="s">
        <v>12</v>
      </c>
      <c r="F34" s="34">
        <v>60000</v>
      </c>
      <c r="G34" s="34">
        <f t="shared" si="1"/>
        <v>60000</v>
      </c>
      <c r="H34" s="32"/>
    </row>
    <row r="35" spans="1:8" ht="30.95" customHeight="1">
      <c r="B35" s="32" t="s">
        <v>173</v>
      </c>
      <c r="G35" s="34">
        <f>SUM(G20:G34)</f>
        <v>1930350</v>
      </c>
      <c r="H35" s="32"/>
    </row>
    <row r="36" spans="1:8" ht="30.95" customHeight="1">
      <c r="A36" s="345">
        <v>3</v>
      </c>
      <c r="B36" s="345" t="s">
        <v>197</v>
      </c>
    </row>
    <row r="37" spans="1:8" ht="30.95" customHeight="1">
      <c r="B37" s="3" t="s">
        <v>198</v>
      </c>
      <c r="C37" s="32" t="s">
        <v>199</v>
      </c>
      <c r="D37" s="33">
        <v>385</v>
      </c>
      <c r="E37" s="29" t="s">
        <v>186</v>
      </c>
      <c r="F37" s="34">
        <v>1150</v>
      </c>
      <c r="G37" s="34">
        <f t="shared" si="1"/>
        <v>442750</v>
      </c>
    </row>
    <row r="38" spans="1:8" ht="30.95" customHeight="1">
      <c r="B38" s="3" t="s">
        <v>200</v>
      </c>
      <c r="C38" s="32" t="s">
        <v>201</v>
      </c>
      <c r="D38" s="33">
        <v>1</v>
      </c>
      <c r="E38" s="29" t="s">
        <v>12</v>
      </c>
      <c r="F38" s="34">
        <v>30000</v>
      </c>
      <c r="G38" s="34">
        <f t="shared" si="1"/>
        <v>30000</v>
      </c>
    </row>
    <row r="39" spans="1:8" ht="30.95" customHeight="1">
      <c r="B39" s="32" t="s">
        <v>202</v>
      </c>
      <c r="C39" s="32" t="s">
        <v>203</v>
      </c>
      <c r="D39" s="33">
        <v>2</v>
      </c>
      <c r="E39" s="29" t="s">
        <v>171</v>
      </c>
      <c r="F39" s="34">
        <v>5000</v>
      </c>
      <c r="G39" s="34">
        <f t="shared" si="1"/>
        <v>10000</v>
      </c>
    </row>
    <row r="40" spans="1:8" ht="30.95" customHeight="1">
      <c r="B40" s="3" t="s">
        <v>173</v>
      </c>
      <c r="G40" s="34">
        <f>SUM(G37:G39)</f>
        <v>482750</v>
      </c>
    </row>
    <row r="42" spans="1:8" ht="30.95" customHeight="1">
      <c r="A42" s="345">
        <v>4</v>
      </c>
      <c r="B42" s="345" t="s">
        <v>10</v>
      </c>
      <c r="D42" s="33">
        <v>1</v>
      </c>
      <c r="E42" s="29" t="s">
        <v>12</v>
      </c>
      <c r="F42" s="34">
        <v>200000</v>
      </c>
      <c r="G42" s="34">
        <f t="shared" ref="G42" si="2">D42*F42</f>
        <v>200000</v>
      </c>
    </row>
    <row r="52" spans="8:8" ht="30.95" customHeight="1">
      <c r="H52" s="3" t="s">
        <v>209</v>
      </c>
    </row>
  </sheetData>
  <mergeCells count="1">
    <mergeCell ref="A1:B1"/>
  </mergeCells>
  <phoneticPr fontId="2"/>
  <dataValidations xWindow="425" yWindow="315" count="2">
    <dataValidation imeMode="hiragana" allowBlank="1" showInputMessage="1" showErrorMessage="1" sqref="E2:E35 H2:H35 B2:C35" xr:uid="{00000000-0002-0000-0200-000000000000}"/>
    <dataValidation imeMode="off" allowBlank="1" showInputMessage="1" showErrorMessage="1" sqref="D2:D35 F2:G35 G37:G39 G42" xr:uid="{00000000-0002-0000-0200-000001000000}"/>
  </dataValidations>
  <printOptions horizontalCentered="1" verticalCentered="1"/>
  <pageMargins left="0.59055118110236227" right="0.59055118110236227" top="0.78740157480314965" bottom="0.59055118110236227" header="0.59055118110236227" footer="0.31496062992125984"/>
  <pageSetup paperSize="9" orientation="landscape" useFirstPageNumber="1" r:id="rId1"/>
  <headerFooter alignWithMargins="0">
    <oddHeader>&amp;R&amp;"ＭＳ Ｐ明朝,標準"No.&amp;P</oddHeader>
    <oddFooter>&amp;R&amp;"HG正楷書体-PRO,標準"&amp;14&amp;G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5"/>
  <sheetViews>
    <sheetView showZeros="0" zoomScaleNormal="91" workbookViewId="0">
      <selection activeCell="A10" sqref="A10:B10"/>
    </sheetView>
  </sheetViews>
  <sheetFormatPr defaultColWidth="9" defaultRowHeight="13.5"/>
  <cols>
    <col min="1" max="1" width="5.125" customWidth="1"/>
    <col min="2" max="2" width="24.125" customWidth="1"/>
    <col min="3" max="3" width="24.375" customWidth="1"/>
    <col min="4" max="4" width="13.625" customWidth="1"/>
    <col min="5" max="5" width="6" customWidth="1"/>
    <col min="6" max="6" width="13.625" customWidth="1"/>
    <col min="7" max="7" width="18.125" customWidth="1"/>
    <col min="8" max="8" width="27.25" customWidth="1"/>
  </cols>
  <sheetData>
    <row r="1" spans="1:8" ht="14.25">
      <c r="A1" s="35"/>
      <c r="B1" s="35"/>
      <c r="C1" s="35"/>
      <c r="D1" s="35"/>
      <c r="E1" s="35"/>
      <c r="F1" s="35"/>
      <c r="G1" s="35"/>
      <c r="H1" s="36">
        <v>45200</v>
      </c>
    </row>
    <row r="2" spans="1:8" ht="32.85" customHeight="1">
      <c r="A2" s="265" t="s">
        <v>13</v>
      </c>
      <c r="B2" s="265"/>
      <c r="C2" s="265"/>
      <c r="D2" s="265"/>
      <c r="E2" s="265"/>
      <c r="F2" s="265"/>
      <c r="G2" s="265"/>
      <c r="H2" s="265"/>
    </row>
    <row r="3" spans="1:8" s="38" customFormat="1" ht="9">
      <c r="A3" s="37"/>
      <c r="B3" s="37"/>
      <c r="C3" s="37"/>
      <c r="D3" s="37"/>
      <c r="E3" s="37"/>
      <c r="F3" s="37"/>
      <c r="G3" s="37"/>
      <c r="H3" s="37"/>
    </row>
    <row r="4" spans="1:8" ht="21.6" customHeight="1">
      <c r="A4" s="269" t="str">
        <f>工事概要!B8</f>
        <v>住林林業ホームテック㈱</v>
      </c>
      <c r="B4" s="269"/>
      <c r="C4" s="39" t="s">
        <v>62</v>
      </c>
      <c r="D4" s="40"/>
      <c r="E4" s="40"/>
      <c r="F4" s="40"/>
      <c r="G4" s="1" t="s">
        <v>60</v>
      </c>
      <c r="H4" s="41" t="str">
        <f>工事概要!F3</f>
        <v>神奈川県横浜市旭区希望ヶ丘230-9</v>
      </c>
    </row>
    <row r="5" spans="1:8" ht="16.350000000000001" customHeight="1">
      <c r="A5" s="35"/>
      <c r="B5" s="35"/>
      <c r="C5" s="35"/>
      <c r="D5" s="267"/>
      <c r="E5" s="267"/>
      <c r="F5" s="267"/>
      <c r="G5" s="263" t="s">
        <v>26</v>
      </c>
      <c r="H5" s="270" t="str">
        <f>工事概要!B3</f>
        <v>住吉屋様邸 改修工事</v>
      </c>
    </row>
    <row r="6" spans="1:8" ht="16.350000000000001" customHeight="1">
      <c r="A6" s="35"/>
      <c r="B6" s="42" t="s">
        <v>14</v>
      </c>
      <c r="C6" s="35"/>
      <c r="D6" s="266"/>
      <c r="E6" s="266"/>
      <c r="F6" s="266"/>
      <c r="G6" s="263"/>
      <c r="H6" s="271"/>
    </row>
    <row r="7" spans="1:8" ht="19.899999999999999" customHeight="1">
      <c r="A7" s="35"/>
      <c r="B7" s="43">
        <f>G21</f>
        <v>0</v>
      </c>
      <c r="C7" s="35"/>
      <c r="D7" s="267"/>
      <c r="E7" s="267"/>
      <c r="F7" s="267"/>
      <c r="G7" s="1" t="s">
        <v>27</v>
      </c>
      <c r="H7" s="44" t="str">
        <f>工事概要!E10</f>
        <v>　</v>
      </c>
    </row>
    <row r="8" spans="1:8">
      <c r="A8" s="35"/>
      <c r="B8" s="35"/>
      <c r="C8" s="35"/>
      <c r="D8" s="268"/>
      <c r="E8" s="268"/>
      <c r="F8" s="268"/>
      <c r="G8" s="1" t="s">
        <v>28</v>
      </c>
      <c r="H8" s="45" t="str">
        <f>工事概要!H1</f>
        <v>伊藤　隆一</v>
      </c>
    </row>
    <row r="9" spans="1:8">
      <c r="A9" s="264" t="s">
        <v>157</v>
      </c>
      <c r="B9" s="264"/>
      <c r="C9" s="264"/>
      <c r="D9" s="264"/>
      <c r="E9" s="264"/>
      <c r="F9" s="264"/>
      <c r="G9" s="264"/>
      <c r="H9" s="264"/>
    </row>
    <row r="10" spans="1:8" s="9" customFormat="1" ht="14.25">
      <c r="A10" s="251" t="s">
        <v>7</v>
      </c>
      <c r="B10" s="252"/>
      <c r="C10" s="12" t="s">
        <v>6</v>
      </c>
      <c r="D10" s="12" t="s">
        <v>5</v>
      </c>
      <c r="E10" s="12" t="s">
        <v>0</v>
      </c>
      <c r="F10" s="12" t="s">
        <v>4</v>
      </c>
      <c r="G10" s="12" t="s">
        <v>3</v>
      </c>
      <c r="H10" s="12" t="s">
        <v>2</v>
      </c>
    </row>
    <row r="11" spans="1:8" s="9" customFormat="1" ht="32.85" customHeight="1">
      <c r="A11" s="13">
        <v>1</v>
      </c>
      <c r="B11" s="14" t="s">
        <v>88</v>
      </c>
      <c r="C11" s="14"/>
      <c r="D11" s="15"/>
      <c r="E11" s="16" t="s">
        <v>30</v>
      </c>
      <c r="F11" s="17"/>
      <c r="G11" s="17">
        <f>D11*F11</f>
        <v>0</v>
      </c>
      <c r="H11" s="46"/>
    </row>
    <row r="12" spans="1:8" s="9" customFormat="1" ht="32.85" customHeight="1">
      <c r="A12" s="13">
        <v>2</v>
      </c>
      <c r="B12" s="14" t="s">
        <v>88</v>
      </c>
      <c r="C12" s="14"/>
      <c r="D12" s="15"/>
      <c r="E12" s="16" t="s">
        <v>30</v>
      </c>
      <c r="F12" s="17"/>
      <c r="G12" s="17">
        <f>D12*F12</f>
        <v>0</v>
      </c>
      <c r="H12" s="46"/>
    </row>
    <row r="13" spans="1:8" s="9" customFormat="1" ht="32.85" customHeight="1">
      <c r="A13" s="13">
        <v>3</v>
      </c>
      <c r="B13" s="14" t="s">
        <v>10</v>
      </c>
      <c r="C13" s="14"/>
      <c r="D13" s="15">
        <v>1</v>
      </c>
      <c r="E13" s="16" t="s">
        <v>12</v>
      </c>
      <c r="F13" s="17"/>
      <c r="G13" s="17">
        <f>SUM(G$11:G12)*0.1</f>
        <v>0</v>
      </c>
      <c r="H13" s="46"/>
    </row>
    <row r="14" spans="1:8" s="9" customFormat="1" ht="32.85" customHeight="1">
      <c r="A14" s="13">
        <v>4</v>
      </c>
      <c r="B14" s="14" t="s">
        <v>132</v>
      </c>
      <c r="C14" s="14"/>
      <c r="D14" s="15"/>
      <c r="E14" s="16"/>
      <c r="F14" s="17"/>
      <c r="G14" s="19">
        <f>SUBTOTAL(9,G$11:G13)</f>
        <v>0</v>
      </c>
      <c r="H14" s="46"/>
    </row>
    <row r="15" spans="1:8" s="9" customFormat="1" ht="32.85" customHeight="1">
      <c r="A15" s="13">
        <v>5</v>
      </c>
      <c r="B15" s="14" t="s">
        <v>11</v>
      </c>
      <c r="C15" s="14"/>
      <c r="D15" s="15"/>
      <c r="E15" s="16"/>
      <c r="F15" s="17"/>
      <c r="G15" s="17">
        <f>ROUNDDOWN(G14*1,-4)-G14</f>
        <v>0</v>
      </c>
      <c r="H15" s="46"/>
    </row>
    <row r="16" spans="1:8" s="9" customFormat="1" ht="32.85" customHeight="1">
      <c r="A16" s="13">
        <v>6</v>
      </c>
      <c r="B16" s="14"/>
      <c r="C16" s="14"/>
      <c r="D16" s="15"/>
      <c r="E16" s="16"/>
      <c r="F16" s="17"/>
      <c r="G16" s="17"/>
      <c r="H16" s="46"/>
    </row>
    <row r="17" spans="1:8" s="9" customFormat="1" ht="32.85" customHeight="1">
      <c r="A17" s="13">
        <v>7</v>
      </c>
      <c r="B17" s="14"/>
      <c r="C17" s="14"/>
      <c r="D17" s="15"/>
      <c r="E17" s="16"/>
      <c r="F17" s="17"/>
      <c r="G17" s="17"/>
      <c r="H17" s="46"/>
    </row>
    <row r="18" spans="1:8" s="9" customFormat="1" ht="32.85" customHeight="1">
      <c r="A18" s="13">
        <v>8</v>
      </c>
      <c r="B18" s="14"/>
      <c r="C18" s="14"/>
      <c r="D18" s="15"/>
      <c r="E18" s="16"/>
      <c r="F18" s="17"/>
      <c r="G18" s="17"/>
      <c r="H18" s="46"/>
    </row>
    <row r="19" spans="1:8" s="9" customFormat="1" ht="32.85" customHeight="1">
      <c r="A19" s="13">
        <v>9</v>
      </c>
      <c r="B19" s="14" t="s">
        <v>15</v>
      </c>
      <c r="C19" s="14"/>
      <c r="D19" s="15"/>
      <c r="E19" s="16"/>
      <c r="F19" s="17"/>
      <c r="G19" s="17">
        <f>SUBTOTAL(9,G$11:G18)</f>
        <v>0</v>
      </c>
      <c r="H19" s="14"/>
    </row>
    <row r="20" spans="1:8" s="9" customFormat="1" ht="32.85" customHeight="1">
      <c r="A20" s="13">
        <v>10</v>
      </c>
      <c r="B20" s="14" t="s">
        <v>152</v>
      </c>
      <c r="C20" s="14"/>
      <c r="D20" s="15">
        <v>10</v>
      </c>
      <c r="E20" s="16" t="s">
        <v>153</v>
      </c>
      <c r="F20" s="17"/>
      <c r="G20" s="17">
        <f>G19*D20/100</f>
        <v>0</v>
      </c>
      <c r="H20" s="14"/>
    </row>
    <row r="21" spans="1:8" s="49" customFormat="1" ht="32.85" customHeight="1">
      <c r="A21" s="20"/>
      <c r="B21" s="21" t="s">
        <v>9</v>
      </c>
      <c r="C21" s="22"/>
      <c r="D21" s="23"/>
      <c r="E21" s="21"/>
      <c r="F21" s="24"/>
      <c r="G21" s="47">
        <f>SUBTOTAL(9,G$11:G20)</f>
        <v>0</v>
      </c>
      <c r="H21" s="48"/>
    </row>
    <row r="22" spans="1:8" s="9" customFormat="1" ht="15.95" customHeight="1">
      <c r="A22" s="50"/>
      <c r="B22" s="51" t="s">
        <v>16</v>
      </c>
      <c r="C22" s="50"/>
      <c r="D22" s="50"/>
      <c r="E22" s="50"/>
      <c r="F22" s="50"/>
      <c r="G22" s="50"/>
      <c r="H22" s="50"/>
    </row>
    <row r="23" spans="1:8" s="9" customFormat="1" ht="15.95" customHeight="1">
      <c r="A23" s="50"/>
      <c r="B23" s="50" t="s">
        <v>19</v>
      </c>
      <c r="C23" s="50" t="s">
        <v>87</v>
      </c>
      <c r="D23" s="50" t="s">
        <v>18</v>
      </c>
      <c r="E23" s="52" t="s">
        <v>31</v>
      </c>
      <c r="F23" s="50" t="s">
        <v>32</v>
      </c>
      <c r="G23" s="50"/>
      <c r="H23" s="50"/>
    </row>
    <row r="24" spans="1:8" s="9" customFormat="1" ht="15.95" customHeight="1">
      <c r="A24" s="50"/>
      <c r="B24" s="50" t="s">
        <v>89</v>
      </c>
      <c r="C24" s="50" t="s">
        <v>17</v>
      </c>
      <c r="D24" s="50" t="s">
        <v>18</v>
      </c>
      <c r="E24" s="52" t="s">
        <v>90</v>
      </c>
      <c r="F24" s="53" t="s">
        <v>91</v>
      </c>
      <c r="G24" s="53"/>
      <c r="H24" s="50"/>
    </row>
    <row r="25" spans="1:8" s="9" customFormat="1" ht="15.95" customHeight="1">
      <c r="A25" s="50"/>
      <c r="B25" s="50" t="s">
        <v>20</v>
      </c>
      <c r="C25" s="50" t="s">
        <v>17</v>
      </c>
      <c r="D25" s="50" t="s">
        <v>18</v>
      </c>
      <c r="E25" s="52" t="s">
        <v>31</v>
      </c>
      <c r="F25" s="50" t="s">
        <v>33</v>
      </c>
      <c r="G25" s="50"/>
      <c r="H25" s="50"/>
    </row>
  </sheetData>
  <mergeCells count="10">
    <mergeCell ref="G5:G6"/>
    <mergeCell ref="A10:B10"/>
    <mergeCell ref="A9:H9"/>
    <mergeCell ref="A2:H2"/>
    <mergeCell ref="D6:F6"/>
    <mergeCell ref="D7:F7"/>
    <mergeCell ref="D8:F8"/>
    <mergeCell ref="D5:F5"/>
    <mergeCell ref="A4:B4"/>
    <mergeCell ref="H5:H6"/>
  </mergeCells>
  <phoneticPr fontId="2"/>
  <dataValidations xWindow="366" yWindow="366" count="3">
    <dataValidation imeMode="hiragana" allowBlank="1" showInputMessage="1" showErrorMessage="1" sqref="C12:C16 H11:H21 B11:B16 E11:E21 B17:C21" xr:uid="{00000000-0002-0000-0300-000000000000}"/>
    <dataValidation imeMode="off" allowBlank="1" showInputMessage="1" showErrorMessage="1" sqref="D11:D21 F11:G21" xr:uid="{00000000-0002-0000-0300-000001000000}"/>
    <dataValidation imeMode="hiragana" allowBlank="1" showInputMessage="1" showErrorMessage="1" promptTitle="注意" prompt="ひとつのセルの中に文章を２行に分けて書き込みたい場合は改行するところで、｢Ａｌｔ｣キーを押したまま｢Ｅｎｔｅｒ｣キーを押して下さい。" sqref="C11" xr:uid="{00000000-0002-0000-0300-000002000000}"/>
  </dataValidations>
  <printOptions horizontalCentered="1"/>
  <pageMargins left="0.59055118110236227" right="0.59055118110236227" top="0.39370078740157483" bottom="0.19685039370078741" header="0" footer="0"/>
  <pageSetup paperSize="9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39"/>
  <sheetViews>
    <sheetView showZeros="0" zoomScaleNormal="100" workbookViewId="0">
      <selection activeCell="B17" sqref="B17:C17"/>
    </sheetView>
  </sheetViews>
  <sheetFormatPr defaultColWidth="9" defaultRowHeight="18.75"/>
  <cols>
    <col min="1" max="1" width="1.625" style="104" customWidth="1"/>
    <col min="2" max="2" width="19.875" style="104" customWidth="1"/>
    <col min="3" max="3" width="13" style="104" customWidth="1"/>
    <col min="4" max="5" width="9" style="104"/>
    <col min="6" max="6" width="34.625" style="104" customWidth="1"/>
    <col min="7" max="7" width="1.625" style="104" customWidth="1"/>
    <col min="8" max="16384" width="9" style="104"/>
  </cols>
  <sheetData>
    <row r="1" spans="1:14" s="162" customFormat="1" ht="27.75">
      <c r="A1" s="282" t="s">
        <v>92</v>
      </c>
      <c r="B1" s="282"/>
      <c r="C1" s="282"/>
      <c r="D1" s="282"/>
      <c r="E1" s="282"/>
      <c r="F1" s="282"/>
      <c r="G1" s="282"/>
    </row>
    <row r="2" spans="1:14">
      <c r="C2" s="105"/>
      <c r="F2" s="106" t="s">
        <v>93</v>
      </c>
      <c r="G2" s="107"/>
      <c r="H2" s="107"/>
      <c r="I2" s="107"/>
      <c r="J2" s="107"/>
      <c r="K2" s="107"/>
      <c r="L2" s="107"/>
      <c r="M2" s="107"/>
      <c r="N2" s="107"/>
    </row>
    <row r="3" spans="1:14">
      <c r="B3" s="108"/>
      <c r="C3" s="104" t="s">
        <v>94</v>
      </c>
      <c r="D3" s="104" t="s">
        <v>95</v>
      </c>
    </row>
    <row r="4" spans="1:14" ht="27" customHeight="1">
      <c r="A4" s="109"/>
      <c r="B4" s="110" t="s">
        <v>96</v>
      </c>
      <c r="C4" s="287" t="str">
        <f>工事概要!B3</f>
        <v>住吉屋様邸 改修工事</v>
      </c>
      <c r="D4" s="287"/>
      <c r="E4" s="287"/>
      <c r="F4" s="287"/>
      <c r="G4" s="111"/>
    </row>
    <row r="5" spans="1:14" ht="24.95" customHeight="1">
      <c r="A5" s="112"/>
      <c r="B5" s="113" t="s">
        <v>97</v>
      </c>
      <c r="C5" s="288" t="str">
        <f>工事概要!F3</f>
        <v>神奈川県横浜市旭区希望ヶ丘230-9</v>
      </c>
      <c r="D5" s="288"/>
      <c r="E5" s="288"/>
      <c r="F5" s="288"/>
      <c r="G5" s="114"/>
    </row>
    <row r="6" spans="1:14" ht="24.95" customHeight="1">
      <c r="A6" s="115"/>
      <c r="B6" s="116" t="s">
        <v>98</v>
      </c>
      <c r="C6" s="289">
        <f>工事概要!H4</f>
        <v>0</v>
      </c>
      <c r="D6" s="289"/>
      <c r="E6" s="289"/>
      <c r="F6" s="283" t="s">
        <v>99</v>
      </c>
      <c r="G6" s="284"/>
    </row>
    <row r="7" spans="1:14" ht="24.95" customHeight="1">
      <c r="A7" s="109"/>
      <c r="B7" s="110" t="s">
        <v>100</v>
      </c>
      <c r="C7" s="290">
        <f>工事概要!H6</f>
        <v>0</v>
      </c>
      <c r="D7" s="290"/>
      <c r="E7" s="290"/>
      <c r="F7" s="290"/>
      <c r="G7" s="111"/>
    </row>
    <row r="8" spans="1:14" ht="24.95" customHeight="1">
      <c r="A8" s="112"/>
      <c r="B8" s="113" t="s">
        <v>101</v>
      </c>
      <c r="C8" s="163" t="s">
        <v>151</v>
      </c>
      <c r="D8" s="117" t="s">
        <v>102</v>
      </c>
      <c r="E8" s="118"/>
      <c r="F8" s="119" t="s">
        <v>103</v>
      </c>
      <c r="G8" s="114"/>
    </row>
    <row r="9" spans="1:14" ht="24.95" customHeight="1">
      <c r="A9" s="115"/>
      <c r="B9" s="120"/>
      <c r="C9" s="120"/>
      <c r="D9" s="120"/>
      <c r="E9" s="120"/>
      <c r="F9" s="121" t="s">
        <v>104</v>
      </c>
      <c r="G9" s="122"/>
    </row>
    <row r="10" spans="1:14">
      <c r="A10" s="112"/>
      <c r="B10" s="104" t="s">
        <v>105</v>
      </c>
      <c r="G10" s="123"/>
    </row>
    <row r="11" spans="1:14" ht="24.95" customHeight="1">
      <c r="A11" s="112"/>
      <c r="B11" s="124" t="s">
        <v>106</v>
      </c>
      <c r="C11" s="125" t="s">
        <v>107</v>
      </c>
      <c r="D11" s="126" t="s">
        <v>108</v>
      </c>
      <c r="E11" s="126" t="s">
        <v>109</v>
      </c>
      <c r="F11" s="285" t="s">
        <v>110</v>
      </c>
      <c r="G11" s="286"/>
    </row>
    <row r="12" spans="1:14" ht="24.95" customHeight="1">
      <c r="A12" s="112"/>
      <c r="B12" s="303" t="str">
        <f>見積書!B11</f>
        <v>外壁塗装工事</v>
      </c>
      <c r="C12" s="304"/>
      <c r="D12" s="127">
        <f>見積書!D11</f>
        <v>1</v>
      </c>
      <c r="E12" s="128" t="str">
        <f>見積書!E11</f>
        <v>式</v>
      </c>
      <c r="F12" s="129" t="str">
        <f>見積書!C11&amp;" "&amp;見積書!H11</f>
        <v xml:space="preserve"> </v>
      </c>
      <c r="G12" s="130"/>
    </row>
    <row r="13" spans="1:14" ht="24.95" customHeight="1">
      <c r="A13" s="112"/>
      <c r="B13" s="291">
        <f>見積書!B12</f>
        <v>0</v>
      </c>
      <c r="C13" s="292"/>
      <c r="D13" s="131">
        <f>見積書!D12</f>
        <v>0</v>
      </c>
      <c r="E13" s="132">
        <f>見積書!E12</f>
        <v>0</v>
      </c>
      <c r="F13" s="133" t="str">
        <f>見積書!C12&amp;" "&amp;見積書!H12</f>
        <v xml:space="preserve"> </v>
      </c>
      <c r="G13" s="134"/>
    </row>
    <row r="14" spans="1:14" ht="24.95" customHeight="1">
      <c r="A14" s="112"/>
      <c r="B14" s="291">
        <f>見積書!B13</f>
        <v>0</v>
      </c>
      <c r="C14" s="292"/>
      <c r="D14" s="131">
        <f>見積書!D13</f>
        <v>0</v>
      </c>
      <c r="E14" s="132">
        <f>見積書!E13</f>
        <v>0</v>
      </c>
      <c r="F14" s="133" t="str">
        <f>見積書!C13&amp;" "&amp;見積書!H13</f>
        <v xml:space="preserve"> </v>
      </c>
      <c r="G14" s="134"/>
    </row>
    <row r="15" spans="1:14" ht="24.95" customHeight="1">
      <c r="A15" s="112"/>
      <c r="B15" s="291">
        <f>見積書!B14</f>
        <v>0</v>
      </c>
      <c r="C15" s="292"/>
      <c r="D15" s="131">
        <f>見積書!D14</f>
        <v>0</v>
      </c>
      <c r="E15" s="132">
        <f>見積書!E14</f>
        <v>0</v>
      </c>
      <c r="F15" s="133" t="str">
        <f>見積書!C14&amp;" "&amp;見積書!H14</f>
        <v xml:space="preserve"> </v>
      </c>
      <c r="G15" s="134"/>
    </row>
    <row r="16" spans="1:14" ht="24.95" customHeight="1">
      <c r="A16" s="112"/>
      <c r="B16" s="291">
        <f>見積書!B15</f>
        <v>0</v>
      </c>
      <c r="C16" s="292"/>
      <c r="D16" s="131">
        <f>見積書!D15</f>
        <v>0</v>
      </c>
      <c r="E16" s="132">
        <f>見積書!E15</f>
        <v>0</v>
      </c>
      <c r="F16" s="133" t="str">
        <f>見積書!C15&amp;" "&amp;見積書!H15</f>
        <v xml:space="preserve"> </v>
      </c>
      <c r="G16" s="134"/>
    </row>
    <row r="17" spans="1:7" ht="24.95" customHeight="1">
      <c r="A17" s="112"/>
      <c r="B17" s="291">
        <f>見積書!B16</f>
        <v>0</v>
      </c>
      <c r="C17" s="292"/>
      <c r="D17" s="131">
        <f>見積書!D16</f>
        <v>0</v>
      </c>
      <c r="E17" s="132">
        <f>見積書!E16</f>
        <v>0</v>
      </c>
      <c r="F17" s="133" t="str">
        <f>見積書!C16&amp;" "&amp;見積書!H16</f>
        <v xml:space="preserve"> </v>
      </c>
      <c r="G17" s="134"/>
    </row>
    <row r="18" spans="1:7" ht="24.95" customHeight="1">
      <c r="A18" s="112"/>
      <c r="B18" s="291">
        <f>見積書!B17</f>
        <v>0</v>
      </c>
      <c r="C18" s="292"/>
      <c r="D18" s="131">
        <f>見積書!D17</f>
        <v>0</v>
      </c>
      <c r="E18" s="132">
        <f>見積書!E17</f>
        <v>0</v>
      </c>
      <c r="F18" s="133" t="str">
        <f>見積書!C17&amp;" "&amp;見積書!H17</f>
        <v xml:space="preserve"> </v>
      </c>
      <c r="G18" s="134"/>
    </row>
    <row r="19" spans="1:7" ht="24.95" customHeight="1">
      <c r="A19" s="112"/>
      <c r="B19" s="276" t="str">
        <f>見積書!B18</f>
        <v>値引き</v>
      </c>
      <c r="C19" s="277"/>
      <c r="D19" s="135">
        <f>見積書!D18</f>
        <v>0</v>
      </c>
      <c r="E19" s="136">
        <f>見積書!E18</f>
        <v>0</v>
      </c>
      <c r="F19" s="137" t="str">
        <f>見積書!C18&amp;" "&amp;見積書!H18</f>
        <v xml:space="preserve"> </v>
      </c>
      <c r="G19" s="134"/>
    </row>
    <row r="20" spans="1:7" ht="24.95" customHeight="1">
      <c r="A20" s="112"/>
      <c r="B20" s="138" t="s">
        <v>111</v>
      </c>
      <c r="C20" s="139" t="s">
        <v>112</v>
      </c>
      <c r="D20" s="140">
        <f>SUM(D12:D19)</f>
        <v>1</v>
      </c>
      <c r="E20" s="141" t="s">
        <v>113</v>
      </c>
      <c r="F20" s="120"/>
      <c r="G20" s="122"/>
    </row>
    <row r="21" spans="1:7" ht="5.25" customHeight="1">
      <c r="A21" s="112"/>
      <c r="G21" s="123"/>
    </row>
    <row r="22" spans="1:7" ht="24.95" customHeight="1">
      <c r="A22" s="109"/>
      <c r="B22" s="110" t="s">
        <v>114</v>
      </c>
      <c r="C22" s="293" t="str">
        <f>工事概要!B5</f>
        <v>　</v>
      </c>
      <c r="D22" s="293"/>
      <c r="E22" s="293"/>
      <c r="F22" s="142" t="s">
        <v>135</v>
      </c>
      <c r="G22" s="143"/>
    </row>
    <row r="23" spans="1:7" ht="24.95" customHeight="1">
      <c r="A23" s="115"/>
      <c r="B23" s="116" t="s">
        <v>115</v>
      </c>
      <c r="C23" s="278" t="s">
        <v>116</v>
      </c>
      <c r="D23" s="278"/>
      <c r="E23" s="278"/>
      <c r="F23" s="278"/>
      <c r="G23" s="279"/>
    </row>
    <row r="24" spans="1:7" ht="24.95" customHeight="1">
      <c r="A24" s="109"/>
      <c r="B24" s="110" t="s">
        <v>117</v>
      </c>
      <c r="C24" s="287" t="str">
        <f>工事概要!B8</f>
        <v>住林林業ホームテック㈱</v>
      </c>
      <c r="D24" s="287"/>
      <c r="E24" s="287"/>
      <c r="F24" s="280" t="s">
        <v>118</v>
      </c>
      <c r="G24" s="281"/>
    </row>
    <row r="25" spans="1:7" ht="24.95" customHeight="1">
      <c r="A25" s="112"/>
      <c r="B25" s="144" t="s">
        <v>119</v>
      </c>
      <c r="C25" s="145" t="s">
        <v>120</v>
      </c>
      <c r="D25" s="144"/>
      <c r="E25" s="144"/>
      <c r="F25" s="144"/>
      <c r="G25" s="146"/>
    </row>
    <row r="26" spans="1:7" ht="24.95" customHeight="1">
      <c r="A26" s="112"/>
      <c r="B26" s="147"/>
      <c r="C26" s="302"/>
      <c r="D26" s="302"/>
      <c r="E26" s="302"/>
      <c r="F26" s="302"/>
      <c r="G26" s="123"/>
    </row>
    <row r="27" spans="1:7" ht="24.95" customHeight="1">
      <c r="A27" s="109"/>
      <c r="B27" s="148" t="s">
        <v>121</v>
      </c>
      <c r="C27" s="290"/>
      <c r="D27" s="290"/>
      <c r="E27" s="148" t="s">
        <v>122</v>
      </c>
      <c r="F27" s="149"/>
      <c r="G27" s="111"/>
    </row>
    <row r="28" spans="1:7" ht="24.95" customHeight="1">
      <c r="A28" s="112"/>
      <c r="B28" s="150" t="s">
        <v>123</v>
      </c>
      <c r="C28" s="151"/>
      <c r="D28" s="151"/>
      <c r="E28" s="150" t="s">
        <v>124</v>
      </c>
      <c r="F28" s="152"/>
      <c r="G28" s="123"/>
    </row>
    <row r="29" spans="1:7" ht="20.25" customHeight="1">
      <c r="A29" s="112"/>
      <c r="B29" s="301" t="str">
        <f>工事概要!E8</f>
        <v>吉田</v>
      </c>
      <c r="C29" s="301"/>
      <c r="D29" s="301"/>
      <c r="E29" s="301"/>
      <c r="F29" s="301"/>
      <c r="G29" s="123"/>
    </row>
    <row r="30" spans="1:7" ht="20.25" customHeight="1">
      <c r="A30" s="153"/>
      <c r="B30" s="300" t="s">
        <v>125</v>
      </c>
      <c r="C30" s="300"/>
      <c r="D30" s="300"/>
      <c r="E30" s="300"/>
      <c r="F30" s="300"/>
      <c r="G30" s="154"/>
    </row>
    <row r="31" spans="1:7" ht="7.5" customHeight="1">
      <c r="A31" s="155"/>
      <c r="B31" s="155"/>
      <c r="C31" s="155"/>
      <c r="D31" s="294" t="s">
        <v>126</v>
      </c>
      <c r="E31" s="295"/>
      <c r="F31" s="295"/>
      <c r="G31" s="296"/>
    </row>
    <row r="32" spans="1:7" ht="23.25">
      <c r="B32" s="156"/>
      <c r="D32" s="297"/>
      <c r="E32" s="298"/>
      <c r="F32" s="298"/>
      <c r="G32" s="299"/>
    </row>
    <row r="33" spans="2:7">
      <c r="B33" s="157" t="s">
        <v>127</v>
      </c>
      <c r="C33" s="157"/>
      <c r="D33" s="274" t="s">
        <v>128</v>
      </c>
      <c r="E33" s="274"/>
      <c r="F33" s="274"/>
      <c r="G33" s="158"/>
    </row>
    <row r="34" spans="2:7">
      <c r="B34" s="273" t="s">
        <v>129</v>
      </c>
      <c r="C34" s="273"/>
      <c r="D34" s="275"/>
      <c r="E34" s="275"/>
      <c r="F34" s="275"/>
      <c r="G34" s="159"/>
    </row>
    <row r="35" spans="2:7">
      <c r="B35" s="105" t="s">
        <v>139</v>
      </c>
      <c r="D35" s="159"/>
      <c r="E35" s="159"/>
      <c r="F35" s="159"/>
      <c r="G35" s="159"/>
    </row>
    <row r="36" spans="2:7">
      <c r="B36" s="105" t="s">
        <v>130</v>
      </c>
      <c r="D36" s="159"/>
      <c r="E36" s="159"/>
      <c r="F36" s="160"/>
      <c r="G36" s="159"/>
    </row>
    <row r="37" spans="2:7">
      <c r="B37" s="105" t="s">
        <v>131</v>
      </c>
      <c r="D37" s="159"/>
      <c r="E37" s="159"/>
      <c r="F37" s="159"/>
      <c r="G37" s="159"/>
    </row>
    <row r="38" spans="2:7">
      <c r="B38" s="272" t="str">
        <f>工事概要!H1</f>
        <v>伊藤　隆一</v>
      </c>
      <c r="C38" s="272"/>
      <c r="D38" s="159"/>
      <c r="E38" s="159"/>
      <c r="F38" s="159"/>
      <c r="G38" s="159"/>
    </row>
    <row r="39" spans="2:7">
      <c r="D39" s="161"/>
      <c r="E39" s="161"/>
      <c r="F39" s="161"/>
      <c r="G39" s="161"/>
    </row>
  </sheetData>
  <mergeCells count="29">
    <mergeCell ref="B17:C17"/>
    <mergeCell ref="B16:C16"/>
    <mergeCell ref="B12:C12"/>
    <mergeCell ref="B13:C13"/>
    <mergeCell ref="B14:C14"/>
    <mergeCell ref="B15:C15"/>
    <mergeCell ref="B18:C18"/>
    <mergeCell ref="C22:E22"/>
    <mergeCell ref="D31:G32"/>
    <mergeCell ref="C27:D27"/>
    <mergeCell ref="B30:F30"/>
    <mergeCell ref="E29:F29"/>
    <mergeCell ref="B29:D29"/>
    <mergeCell ref="C24:E24"/>
    <mergeCell ref="C26:F26"/>
    <mergeCell ref="A1:G1"/>
    <mergeCell ref="F6:G6"/>
    <mergeCell ref="F11:G11"/>
    <mergeCell ref="C4:F4"/>
    <mergeCell ref="C5:F5"/>
    <mergeCell ref="C6:E6"/>
    <mergeCell ref="C7:F7"/>
    <mergeCell ref="B38:C38"/>
    <mergeCell ref="B34:C34"/>
    <mergeCell ref="D33:F33"/>
    <mergeCell ref="D34:F34"/>
    <mergeCell ref="B19:C19"/>
    <mergeCell ref="C23:G23"/>
    <mergeCell ref="F24:G24"/>
  </mergeCells>
  <phoneticPr fontId="2"/>
  <pageMargins left="0.78740157480314965" right="0.59055118110236227" top="0.39370078740157483" bottom="0.39370078740157483" header="0" footer="0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autoPageBreaks="0"/>
  </sheetPr>
  <dimension ref="A1:IT37"/>
  <sheetViews>
    <sheetView showOutlineSymbols="0" topLeftCell="A25" zoomScaleNormal="100" zoomScaleSheetLayoutView="50" workbookViewId="0">
      <selection activeCell="C28" sqref="C28"/>
    </sheetView>
  </sheetViews>
  <sheetFormatPr defaultColWidth="10.75" defaultRowHeight="15.75" customHeight="1"/>
  <cols>
    <col min="1" max="1" width="13.375" style="93" customWidth="1"/>
    <col min="2" max="2" width="16.75" style="93" customWidth="1"/>
    <col min="3" max="5" width="12.625" style="93" customWidth="1"/>
    <col min="6" max="11" width="11.625" style="93" customWidth="1"/>
    <col min="12" max="16384" width="10.75" style="93"/>
  </cols>
  <sheetData>
    <row r="1" spans="1:254" s="91" customFormat="1" ht="15.75" customHeight="1">
      <c r="A1" s="311" t="s">
        <v>34</v>
      </c>
      <c r="B1" s="305" t="str">
        <f>工事概要!B3</f>
        <v>住吉屋様邸 改修工事</v>
      </c>
      <c r="C1" s="305"/>
      <c r="D1" s="305"/>
      <c r="E1" s="305"/>
      <c r="F1" s="103"/>
      <c r="G1" s="313" t="s">
        <v>64</v>
      </c>
      <c r="H1" s="305" t="str">
        <f>工事概要!B4</f>
        <v>住林林業ホームテック㈱</v>
      </c>
      <c r="I1" s="305"/>
      <c r="J1" s="305"/>
      <c r="K1" s="306"/>
    </row>
    <row r="2" spans="1:254" s="91" customFormat="1" ht="15.75" customHeight="1">
      <c r="A2" s="312"/>
      <c r="B2" s="307"/>
      <c r="C2" s="307"/>
      <c r="D2" s="307"/>
      <c r="E2" s="307"/>
      <c r="F2" s="92"/>
      <c r="G2" s="314"/>
      <c r="H2" s="307"/>
      <c r="I2" s="307"/>
      <c r="J2" s="307"/>
      <c r="K2" s="308"/>
    </row>
    <row r="3" spans="1:254" ht="15.75" customHeight="1">
      <c r="A3" s="315" t="s">
        <v>65</v>
      </c>
      <c r="B3" s="309" t="s">
        <v>66</v>
      </c>
      <c r="C3" s="322" t="s">
        <v>67</v>
      </c>
      <c r="D3" s="317" t="s">
        <v>68</v>
      </c>
      <c r="E3" s="309" t="s">
        <v>69</v>
      </c>
      <c r="F3" s="319" t="s">
        <v>134</v>
      </c>
      <c r="G3" s="320"/>
      <c r="H3" s="320"/>
      <c r="I3" s="320"/>
      <c r="J3" s="320"/>
      <c r="K3" s="321"/>
      <c r="L3" s="94"/>
    </row>
    <row r="4" spans="1:254" ht="15.75" customHeight="1">
      <c r="A4" s="316"/>
      <c r="B4" s="310"/>
      <c r="C4" s="323"/>
      <c r="D4" s="318"/>
      <c r="E4" s="310"/>
      <c r="F4" s="165" t="str">
        <f>工事概要!B5</f>
        <v>　</v>
      </c>
      <c r="G4" s="166" t="e">
        <f>IF(F4="","",DATE(YEAR(F4),MONTH(F4)+1,1))</f>
        <v>#VALUE!</v>
      </c>
      <c r="H4" s="166" t="e">
        <f>IF(G4="","",DATE(YEAR(G4),MONTH(G4)+1,1))</f>
        <v>#VALUE!</v>
      </c>
      <c r="I4" s="166" t="e">
        <f>IF(H4="","",DATE(YEAR(H4),MONTH(H4)+1,1))</f>
        <v>#VALUE!</v>
      </c>
      <c r="J4" s="166" t="e">
        <f>IF(I4="","",DATE(YEAR(I4),MONTH(I4)+1,1))</f>
        <v>#VALUE!</v>
      </c>
      <c r="K4" s="167" t="e">
        <f>IF(J4="","",DATE(YEAR(J4),MONTH(J4)+1,1))</f>
        <v>#VALUE!</v>
      </c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  <c r="HH4" s="94"/>
      <c r="HI4" s="94"/>
      <c r="HJ4" s="94"/>
      <c r="HK4" s="94"/>
      <c r="HL4" s="94"/>
      <c r="HM4" s="94"/>
      <c r="HN4" s="94"/>
      <c r="HO4" s="94"/>
      <c r="HP4" s="94"/>
      <c r="HQ4" s="94"/>
      <c r="HR4" s="94"/>
      <c r="HS4" s="94"/>
      <c r="HT4" s="94"/>
      <c r="HU4" s="94"/>
      <c r="HV4" s="94"/>
      <c r="HW4" s="94"/>
      <c r="HX4" s="94"/>
      <c r="HY4" s="94"/>
      <c r="HZ4" s="94"/>
      <c r="IA4" s="94"/>
      <c r="IB4" s="94"/>
      <c r="IC4" s="94"/>
      <c r="ID4" s="94"/>
      <c r="IE4" s="94"/>
      <c r="IF4" s="94"/>
      <c r="IG4" s="94"/>
      <c r="IH4" s="94"/>
      <c r="II4" s="94"/>
      <c r="IJ4" s="94"/>
      <c r="IK4" s="94"/>
      <c r="IL4" s="94"/>
      <c r="IM4" s="94"/>
      <c r="IN4" s="94"/>
      <c r="IO4" s="94"/>
      <c r="IP4" s="94"/>
      <c r="IQ4" s="94"/>
      <c r="IR4" s="94"/>
      <c r="IS4" s="94"/>
      <c r="IT4" s="94"/>
    </row>
    <row r="5" spans="1:254" ht="15.75" customHeight="1">
      <c r="A5" s="168" t="s">
        <v>70</v>
      </c>
      <c r="B5" s="95"/>
      <c r="C5" s="169"/>
      <c r="D5" s="170">
        <f t="shared" ref="D5:D10" si="0">SUM(F5:K5)</f>
        <v>0</v>
      </c>
      <c r="E5" s="171">
        <f t="shared" ref="E5:E16" si="1">C5-D5</f>
        <v>0</v>
      </c>
      <c r="F5" s="172"/>
      <c r="G5" s="173"/>
      <c r="H5" s="173"/>
      <c r="I5" s="173"/>
      <c r="J5" s="173"/>
      <c r="K5" s="174"/>
      <c r="L5" s="94"/>
    </row>
    <row r="6" spans="1:254" ht="15.75" customHeight="1">
      <c r="A6" s="168"/>
      <c r="B6" s="95"/>
      <c r="C6" s="169"/>
      <c r="D6" s="170">
        <f t="shared" si="0"/>
        <v>0</v>
      </c>
      <c r="E6" s="175">
        <f t="shared" si="1"/>
        <v>0</v>
      </c>
      <c r="F6" s="176"/>
      <c r="G6" s="170"/>
      <c r="H6" s="170"/>
      <c r="I6" s="170"/>
      <c r="J6" s="170"/>
      <c r="K6" s="177"/>
      <c r="L6" s="94"/>
    </row>
    <row r="7" spans="1:254" ht="15.75" customHeight="1">
      <c r="A7" s="168"/>
      <c r="B7" s="95"/>
      <c r="C7" s="169"/>
      <c r="D7" s="170">
        <f t="shared" si="0"/>
        <v>0</v>
      </c>
      <c r="E7" s="175">
        <f t="shared" si="1"/>
        <v>0</v>
      </c>
      <c r="F7" s="176"/>
      <c r="G7" s="170"/>
      <c r="H7" s="170"/>
      <c r="I7" s="170"/>
      <c r="J7" s="170"/>
      <c r="K7" s="177"/>
      <c r="L7" s="94"/>
    </row>
    <row r="8" spans="1:254" ht="15.75" customHeight="1">
      <c r="A8" s="168"/>
      <c r="B8" s="95"/>
      <c r="C8" s="169"/>
      <c r="D8" s="170">
        <f t="shared" si="0"/>
        <v>0</v>
      </c>
      <c r="E8" s="175">
        <f t="shared" si="1"/>
        <v>0</v>
      </c>
      <c r="F8" s="176"/>
      <c r="G8" s="170"/>
      <c r="H8" s="170"/>
      <c r="I8" s="170"/>
      <c r="J8" s="170"/>
      <c r="K8" s="177"/>
      <c r="L8" s="94"/>
    </row>
    <row r="9" spans="1:254" ht="15.75" customHeight="1">
      <c r="A9" s="168"/>
      <c r="B9" s="95"/>
      <c r="C9" s="169"/>
      <c r="D9" s="170">
        <f t="shared" si="0"/>
        <v>0</v>
      </c>
      <c r="E9" s="175">
        <f t="shared" si="1"/>
        <v>0</v>
      </c>
      <c r="F9" s="176"/>
      <c r="G9" s="170"/>
      <c r="H9" s="170"/>
      <c r="I9" s="170"/>
      <c r="J9" s="170"/>
      <c r="K9" s="177"/>
      <c r="L9" s="94"/>
    </row>
    <row r="10" spans="1:254" ht="15.75" customHeight="1">
      <c r="A10" s="178"/>
      <c r="B10" s="96"/>
      <c r="C10" s="169"/>
      <c r="D10" s="170">
        <f t="shared" si="0"/>
        <v>0</v>
      </c>
      <c r="E10" s="175">
        <f t="shared" si="1"/>
        <v>0</v>
      </c>
      <c r="F10" s="176"/>
      <c r="G10" s="170"/>
      <c r="H10" s="170"/>
      <c r="I10" s="170"/>
      <c r="J10" s="170"/>
      <c r="K10" s="177"/>
      <c r="L10" s="94"/>
    </row>
    <row r="11" spans="1:254" ht="15.75" customHeight="1">
      <c r="A11" s="326" t="s">
        <v>146</v>
      </c>
      <c r="B11" s="327"/>
      <c r="C11" s="179">
        <f>SUBTOTAL(9,C5:C10)</f>
        <v>0</v>
      </c>
      <c r="D11" s="180">
        <f>SUBTOTAL(9,D5:D10)</f>
        <v>0</v>
      </c>
      <c r="E11" s="181">
        <f t="shared" si="1"/>
        <v>0</v>
      </c>
      <c r="F11" s="182">
        <f t="shared" ref="F11:K11" si="2">SUBTOTAL(9,F5:F10)</f>
        <v>0</v>
      </c>
      <c r="G11" s="183">
        <f t="shared" si="2"/>
        <v>0</v>
      </c>
      <c r="H11" s="183">
        <f t="shared" si="2"/>
        <v>0</v>
      </c>
      <c r="I11" s="183">
        <f t="shared" si="2"/>
        <v>0</v>
      </c>
      <c r="J11" s="183">
        <f t="shared" si="2"/>
        <v>0</v>
      </c>
      <c r="K11" s="184">
        <f t="shared" si="2"/>
        <v>0</v>
      </c>
      <c r="L11" s="94"/>
    </row>
    <row r="12" spans="1:254" ht="15.75" customHeight="1">
      <c r="A12" s="185"/>
      <c r="B12" s="97"/>
      <c r="C12" s="186"/>
      <c r="D12" s="173">
        <f>SUM(F12:K12)</f>
        <v>0</v>
      </c>
      <c r="E12" s="171">
        <f t="shared" si="1"/>
        <v>0</v>
      </c>
      <c r="F12" s="172"/>
      <c r="G12" s="173"/>
      <c r="H12" s="173"/>
      <c r="I12" s="173"/>
      <c r="J12" s="173"/>
      <c r="K12" s="174"/>
      <c r="L12" s="94"/>
    </row>
    <row r="13" spans="1:254" ht="15.75" customHeight="1">
      <c r="A13" s="168"/>
      <c r="B13" s="95"/>
      <c r="C13" s="169"/>
      <c r="D13" s="170">
        <f>SUM(F13:K13)</f>
        <v>0</v>
      </c>
      <c r="E13" s="175">
        <f t="shared" si="1"/>
        <v>0</v>
      </c>
      <c r="F13" s="176"/>
      <c r="G13" s="170"/>
      <c r="H13" s="170"/>
      <c r="I13" s="170"/>
      <c r="J13" s="170"/>
      <c r="K13" s="177"/>
      <c r="L13" s="94"/>
    </row>
    <row r="14" spans="1:254" ht="15.75" customHeight="1">
      <c r="A14" s="168"/>
      <c r="B14" s="95"/>
      <c r="C14" s="169"/>
      <c r="D14" s="170">
        <f>SUM(F14:K14)</f>
        <v>0</v>
      </c>
      <c r="E14" s="175">
        <f t="shared" si="1"/>
        <v>0</v>
      </c>
      <c r="F14" s="176"/>
      <c r="G14" s="170"/>
      <c r="H14" s="170"/>
      <c r="I14" s="170"/>
      <c r="J14" s="170"/>
      <c r="K14" s="177"/>
      <c r="L14" s="94"/>
    </row>
    <row r="15" spans="1:254" ht="15.75" customHeight="1">
      <c r="A15" s="168"/>
      <c r="B15" s="95"/>
      <c r="C15" s="169"/>
      <c r="D15" s="170">
        <f>SUM(F15:K15)</f>
        <v>0</v>
      </c>
      <c r="E15" s="175">
        <f t="shared" si="1"/>
        <v>0</v>
      </c>
      <c r="F15" s="176"/>
      <c r="G15" s="170"/>
      <c r="H15" s="170"/>
      <c r="I15" s="170"/>
      <c r="J15" s="170"/>
      <c r="K15" s="177"/>
      <c r="L15" s="94"/>
    </row>
    <row r="16" spans="1:254" ht="15.75" customHeight="1">
      <c r="A16" s="168"/>
      <c r="B16" s="95"/>
      <c r="C16" s="169"/>
      <c r="D16" s="170">
        <f>SUM(F16:K16)</f>
        <v>0</v>
      </c>
      <c r="E16" s="175">
        <f t="shared" si="1"/>
        <v>0</v>
      </c>
      <c r="F16" s="176"/>
      <c r="G16" s="170"/>
      <c r="H16" s="170"/>
      <c r="I16" s="170"/>
      <c r="J16" s="170"/>
      <c r="K16" s="177"/>
      <c r="L16" s="94"/>
    </row>
    <row r="17" spans="1:12" ht="15.75" customHeight="1">
      <c r="A17" s="326" t="s">
        <v>147</v>
      </c>
      <c r="B17" s="327"/>
      <c r="C17" s="179">
        <f>SUBTOTAL(9,C12:C16)</f>
        <v>0</v>
      </c>
      <c r="D17" s="180">
        <f>SUBTOTAL(9,D12:D16)</f>
        <v>0</v>
      </c>
      <c r="E17" s="181">
        <f>C17-D17</f>
        <v>0</v>
      </c>
      <c r="F17" s="182">
        <f t="shared" ref="F17:K17" si="3">SUBTOTAL(9,F12:F16)</f>
        <v>0</v>
      </c>
      <c r="G17" s="183">
        <f t="shared" si="3"/>
        <v>0</v>
      </c>
      <c r="H17" s="183">
        <f t="shared" si="3"/>
        <v>0</v>
      </c>
      <c r="I17" s="183">
        <f t="shared" si="3"/>
        <v>0</v>
      </c>
      <c r="J17" s="183">
        <f t="shared" si="3"/>
        <v>0</v>
      </c>
      <c r="K17" s="184">
        <f t="shared" si="3"/>
        <v>0</v>
      </c>
      <c r="L17" s="94"/>
    </row>
    <row r="18" spans="1:12" ht="15.75" customHeight="1">
      <c r="A18" s="185" t="s">
        <v>71</v>
      </c>
      <c r="B18" s="98" t="s">
        <v>84</v>
      </c>
      <c r="C18" s="186"/>
      <c r="D18" s="173">
        <f t="shared" ref="D18:D28" si="4">SUM(F18:K18)</f>
        <v>0</v>
      </c>
      <c r="E18" s="171">
        <f t="shared" ref="E18:E24" si="5">C18-D18</f>
        <v>0</v>
      </c>
      <c r="F18" s="172"/>
      <c r="G18" s="173"/>
      <c r="H18" s="173"/>
      <c r="I18" s="173"/>
      <c r="J18" s="173"/>
      <c r="K18" s="174"/>
      <c r="L18" s="94"/>
    </row>
    <row r="19" spans="1:12" ht="15.75" customHeight="1">
      <c r="A19" s="168"/>
      <c r="B19" s="99" t="s">
        <v>72</v>
      </c>
      <c r="C19" s="169"/>
      <c r="D19" s="170">
        <f t="shared" si="4"/>
        <v>0</v>
      </c>
      <c r="E19" s="175">
        <f t="shared" si="5"/>
        <v>0</v>
      </c>
      <c r="F19" s="176"/>
      <c r="G19" s="170"/>
      <c r="H19" s="170"/>
      <c r="I19" s="170"/>
      <c r="J19" s="170"/>
      <c r="K19" s="177"/>
      <c r="L19" s="94"/>
    </row>
    <row r="20" spans="1:12" ht="15.75" customHeight="1">
      <c r="A20" s="168"/>
      <c r="B20" s="99" t="s">
        <v>85</v>
      </c>
      <c r="C20" s="169"/>
      <c r="D20" s="170">
        <f t="shared" si="4"/>
        <v>0</v>
      </c>
      <c r="E20" s="175">
        <f t="shared" si="5"/>
        <v>0</v>
      </c>
      <c r="F20" s="176"/>
      <c r="G20" s="170"/>
      <c r="H20" s="170"/>
      <c r="I20" s="170"/>
      <c r="J20" s="170"/>
      <c r="K20" s="177"/>
      <c r="L20" s="94"/>
    </row>
    <row r="21" spans="1:12" ht="15.75" customHeight="1">
      <c r="A21" s="168"/>
      <c r="B21" s="99"/>
      <c r="C21" s="169"/>
      <c r="D21" s="170">
        <f t="shared" si="4"/>
        <v>0</v>
      </c>
      <c r="E21" s="175">
        <f t="shared" si="5"/>
        <v>0</v>
      </c>
      <c r="F21" s="176"/>
      <c r="G21" s="170"/>
      <c r="H21" s="170"/>
      <c r="I21" s="170"/>
      <c r="J21" s="170"/>
      <c r="K21" s="177"/>
      <c r="L21" s="94"/>
    </row>
    <row r="22" spans="1:12" ht="15.75" customHeight="1">
      <c r="A22" s="168"/>
      <c r="B22" s="99"/>
      <c r="C22" s="169"/>
      <c r="D22" s="170">
        <f t="shared" si="4"/>
        <v>0</v>
      </c>
      <c r="E22" s="175">
        <f t="shared" si="5"/>
        <v>0</v>
      </c>
      <c r="F22" s="176"/>
      <c r="G22" s="170"/>
      <c r="H22" s="170"/>
      <c r="I22" s="170"/>
      <c r="J22" s="170"/>
      <c r="K22" s="177"/>
      <c r="L22" s="94"/>
    </row>
    <row r="23" spans="1:12" ht="15.75" customHeight="1">
      <c r="A23" s="168"/>
      <c r="B23" s="99"/>
      <c r="C23" s="169"/>
      <c r="D23" s="170">
        <f t="shared" si="4"/>
        <v>0</v>
      </c>
      <c r="E23" s="175">
        <f t="shared" si="5"/>
        <v>0</v>
      </c>
      <c r="F23" s="176"/>
      <c r="G23" s="170"/>
      <c r="H23" s="170"/>
      <c r="I23" s="170"/>
      <c r="J23" s="170"/>
      <c r="K23" s="177"/>
      <c r="L23" s="94"/>
    </row>
    <row r="24" spans="1:12" ht="15.75" customHeight="1">
      <c r="A24" s="178" t="s">
        <v>73</v>
      </c>
      <c r="B24" s="100"/>
      <c r="C24" s="187"/>
      <c r="D24" s="188">
        <f>SUM(F24:K24)</f>
        <v>0</v>
      </c>
      <c r="E24" s="175">
        <f t="shared" si="5"/>
        <v>0</v>
      </c>
      <c r="F24" s="189"/>
      <c r="G24" s="188"/>
      <c r="H24" s="188"/>
      <c r="I24" s="188"/>
      <c r="J24" s="188"/>
      <c r="K24" s="190"/>
      <c r="L24" s="94"/>
    </row>
    <row r="25" spans="1:12" ht="15.75" customHeight="1">
      <c r="A25" s="328" t="s">
        <v>74</v>
      </c>
      <c r="B25" s="329"/>
      <c r="C25" s="191">
        <f t="shared" ref="C25:K25" si="6">SUBTOTAL(9,C18:C24)</f>
        <v>0</v>
      </c>
      <c r="D25" s="192">
        <f t="shared" si="6"/>
        <v>0</v>
      </c>
      <c r="E25" s="193">
        <f t="shared" si="6"/>
        <v>0</v>
      </c>
      <c r="F25" s="182">
        <f t="shared" si="6"/>
        <v>0</v>
      </c>
      <c r="G25" s="183">
        <f t="shared" si="6"/>
        <v>0</v>
      </c>
      <c r="H25" s="183">
        <f t="shared" si="6"/>
        <v>0</v>
      </c>
      <c r="I25" s="183">
        <f t="shared" si="6"/>
        <v>0</v>
      </c>
      <c r="J25" s="183">
        <f t="shared" si="6"/>
        <v>0</v>
      </c>
      <c r="K25" s="184">
        <f t="shared" si="6"/>
        <v>0</v>
      </c>
      <c r="L25" s="94"/>
    </row>
    <row r="26" spans="1:12" ht="15.75" customHeight="1">
      <c r="A26" s="194" t="s">
        <v>149</v>
      </c>
      <c r="B26" s="101"/>
      <c r="C26" s="195"/>
      <c r="D26" s="196">
        <f>SUM(F26:K26)</f>
        <v>0</v>
      </c>
      <c r="E26" s="197">
        <f>C26-D26</f>
        <v>0</v>
      </c>
      <c r="F26" s="172"/>
      <c r="G26" s="173"/>
      <c r="H26" s="173"/>
      <c r="I26" s="173"/>
      <c r="J26" s="173"/>
      <c r="K26" s="174"/>
      <c r="L26" s="94"/>
    </row>
    <row r="27" spans="1:12" ht="15.75" customHeight="1">
      <c r="A27" s="168"/>
      <c r="B27" s="102"/>
      <c r="C27" s="169"/>
      <c r="D27" s="170">
        <f t="shared" si="4"/>
        <v>0</v>
      </c>
      <c r="E27" s="175">
        <f>C27-D27</f>
        <v>0</v>
      </c>
      <c r="F27" s="176"/>
      <c r="G27" s="170"/>
      <c r="H27" s="170"/>
      <c r="I27" s="170"/>
      <c r="J27" s="170"/>
      <c r="K27" s="177"/>
      <c r="L27" s="94"/>
    </row>
    <row r="28" spans="1:12" ht="15.75" customHeight="1">
      <c r="A28" s="168"/>
      <c r="B28" s="102"/>
      <c r="C28" s="198"/>
      <c r="D28" s="170">
        <f t="shared" si="4"/>
        <v>0</v>
      </c>
      <c r="E28" s="175">
        <f>C28-D28</f>
        <v>0</v>
      </c>
      <c r="F28" s="199"/>
      <c r="G28" s="200"/>
      <c r="H28" s="200"/>
      <c r="I28" s="200"/>
      <c r="J28" s="200"/>
      <c r="K28" s="190"/>
      <c r="L28" s="94"/>
    </row>
    <row r="29" spans="1:12" ht="15.75" customHeight="1" thickBot="1">
      <c r="A29" s="343" t="s">
        <v>150</v>
      </c>
      <c r="B29" s="344"/>
      <c r="C29" s="201">
        <f>SUBTOTAL(9,C26:C28)</f>
        <v>0</v>
      </c>
      <c r="D29" s="202">
        <f t="shared" ref="D29:K29" si="7">SUBTOTAL(9,D26:D28)</f>
        <v>0</v>
      </c>
      <c r="E29" s="203">
        <f t="shared" si="7"/>
        <v>0</v>
      </c>
      <c r="F29" s="189">
        <f t="shared" si="7"/>
        <v>0</v>
      </c>
      <c r="G29" s="188">
        <f t="shared" si="7"/>
        <v>0</v>
      </c>
      <c r="H29" s="188">
        <f t="shared" si="7"/>
        <v>0</v>
      </c>
      <c r="I29" s="188">
        <f t="shared" si="7"/>
        <v>0</v>
      </c>
      <c r="J29" s="188">
        <f t="shared" si="7"/>
        <v>0</v>
      </c>
      <c r="K29" s="190">
        <f t="shared" si="7"/>
        <v>0</v>
      </c>
      <c r="L29" s="94"/>
    </row>
    <row r="30" spans="1:12" ht="15.75" customHeight="1" thickTop="1" thickBot="1">
      <c r="A30" s="324" t="s">
        <v>75</v>
      </c>
      <c r="B30" s="325"/>
      <c r="C30" s="204">
        <f t="shared" ref="C30:K30" si="8">SUBTOTAL(9,C5:C29)</f>
        <v>0</v>
      </c>
      <c r="D30" s="205">
        <f t="shared" si="8"/>
        <v>0</v>
      </c>
      <c r="E30" s="206">
        <f t="shared" si="8"/>
        <v>0</v>
      </c>
      <c r="F30" s="207">
        <f t="shared" si="8"/>
        <v>0</v>
      </c>
      <c r="G30" s="207">
        <f t="shared" si="8"/>
        <v>0</v>
      </c>
      <c r="H30" s="207">
        <f t="shared" si="8"/>
        <v>0</v>
      </c>
      <c r="I30" s="207">
        <f t="shared" si="8"/>
        <v>0</v>
      </c>
      <c r="J30" s="207">
        <f t="shared" si="8"/>
        <v>0</v>
      </c>
      <c r="K30" s="208">
        <f t="shared" si="8"/>
        <v>0</v>
      </c>
      <c r="L30" s="94"/>
    </row>
    <row r="31" spans="1:12" ht="15.75" customHeight="1">
      <c r="A31" s="339" t="s">
        <v>76</v>
      </c>
      <c r="B31" s="341" t="s">
        <v>73</v>
      </c>
      <c r="C31" s="333" t="s">
        <v>77</v>
      </c>
      <c r="D31" s="335" t="s">
        <v>78</v>
      </c>
      <c r="E31" s="337" t="s">
        <v>79</v>
      </c>
      <c r="F31" s="330" t="s">
        <v>133</v>
      </c>
      <c r="G31" s="331"/>
      <c r="H31" s="331"/>
      <c r="I31" s="331"/>
      <c r="J31" s="331"/>
      <c r="K31" s="332"/>
      <c r="L31" s="94"/>
    </row>
    <row r="32" spans="1:12" ht="15.75" customHeight="1">
      <c r="A32" s="340"/>
      <c r="B32" s="342"/>
      <c r="C32" s="334"/>
      <c r="D32" s="336"/>
      <c r="E32" s="338"/>
      <c r="F32" s="209" t="str">
        <f t="shared" ref="F32:K32" si="9">F4</f>
        <v>　</v>
      </c>
      <c r="G32" s="210" t="e">
        <f t="shared" si="9"/>
        <v>#VALUE!</v>
      </c>
      <c r="H32" s="210" t="e">
        <f t="shared" si="9"/>
        <v>#VALUE!</v>
      </c>
      <c r="I32" s="210" t="e">
        <f t="shared" si="9"/>
        <v>#VALUE!</v>
      </c>
      <c r="J32" s="210" t="e">
        <f t="shared" si="9"/>
        <v>#VALUE!</v>
      </c>
      <c r="K32" s="211" t="e">
        <f t="shared" si="9"/>
        <v>#VALUE!</v>
      </c>
      <c r="L32" s="94"/>
    </row>
    <row r="33" spans="1:12" ht="15.75" customHeight="1">
      <c r="A33" s="219" t="s">
        <v>80</v>
      </c>
      <c r="B33" s="102"/>
      <c r="C33" s="169"/>
      <c r="D33" s="170">
        <f>SUM(F33:K33)</f>
        <v>0</v>
      </c>
      <c r="E33" s="175">
        <f>C33-D33</f>
        <v>0</v>
      </c>
      <c r="F33" s="176"/>
      <c r="G33" s="170"/>
      <c r="H33" s="170"/>
      <c r="I33" s="170"/>
      <c r="J33" s="170"/>
      <c r="K33" s="177"/>
      <c r="L33" s="94"/>
    </row>
    <row r="34" spans="1:12" ht="15.75" customHeight="1">
      <c r="A34" s="219" t="s">
        <v>81</v>
      </c>
      <c r="B34" s="102"/>
      <c r="C34" s="212">
        <f>C30</f>
        <v>0</v>
      </c>
      <c r="D34" s="170">
        <f>D30</f>
        <v>0</v>
      </c>
      <c r="E34" s="175">
        <f t="shared" ref="E34:K34" si="10">E30</f>
        <v>0</v>
      </c>
      <c r="F34" s="170">
        <f t="shared" si="10"/>
        <v>0</v>
      </c>
      <c r="G34" s="170">
        <f t="shared" si="10"/>
        <v>0</v>
      </c>
      <c r="H34" s="170">
        <f t="shared" si="10"/>
        <v>0</v>
      </c>
      <c r="I34" s="170">
        <f t="shared" si="10"/>
        <v>0</v>
      </c>
      <c r="J34" s="170">
        <f t="shared" si="10"/>
        <v>0</v>
      </c>
      <c r="K34" s="177">
        <f t="shared" si="10"/>
        <v>0</v>
      </c>
      <c r="L34" s="94"/>
    </row>
    <row r="35" spans="1:12" ht="15.75" customHeight="1">
      <c r="A35" s="219" t="s">
        <v>82</v>
      </c>
      <c r="B35" s="102"/>
      <c r="C35" s="169">
        <f>C33-C34</f>
        <v>0</v>
      </c>
      <c r="D35" s="170">
        <f>D33-D34</f>
        <v>0</v>
      </c>
      <c r="E35" s="175">
        <f>E33-E34</f>
        <v>0</v>
      </c>
      <c r="F35" s="176">
        <f t="shared" ref="F35:K35" si="11">F33-F34</f>
        <v>0</v>
      </c>
      <c r="G35" s="170">
        <f t="shared" si="11"/>
        <v>0</v>
      </c>
      <c r="H35" s="170">
        <f t="shared" si="11"/>
        <v>0</v>
      </c>
      <c r="I35" s="170">
        <f t="shared" si="11"/>
        <v>0</v>
      </c>
      <c r="J35" s="170">
        <f t="shared" si="11"/>
        <v>0</v>
      </c>
      <c r="K35" s="177">
        <f t="shared" si="11"/>
        <v>0</v>
      </c>
      <c r="L35" s="94"/>
    </row>
    <row r="36" spans="1:12" ht="15.75" customHeight="1" thickBot="1">
      <c r="A36" s="220" t="s">
        <v>83</v>
      </c>
      <c r="B36" s="213"/>
      <c r="C36" s="214" t="e">
        <f>C35/C33</f>
        <v>#DIV/0!</v>
      </c>
      <c r="D36" s="215" t="e">
        <f>D35/D33</f>
        <v>#DIV/0!</v>
      </c>
      <c r="E36" s="216"/>
      <c r="F36" s="217"/>
      <c r="G36" s="215"/>
      <c r="H36" s="215"/>
      <c r="I36" s="215"/>
      <c r="J36" s="215"/>
      <c r="K36" s="218"/>
      <c r="L36" s="94"/>
    </row>
    <row r="37" spans="1:12" ht="15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</row>
  </sheetData>
  <mergeCells count="21">
    <mergeCell ref="A30:B30"/>
    <mergeCell ref="A11:B11"/>
    <mergeCell ref="A25:B25"/>
    <mergeCell ref="A17:B17"/>
    <mergeCell ref="F31:K31"/>
    <mergeCell ref="C31:C32"/>
    <mergeCell ref="D31:D32"/>
    <mergeCell ref="E31:E32"/>
    <mergeCell ref="A31:A32"/>
    <mergeCell ref="B31:B32"/>
    <mergeCell ref="A29:B29"/>
    <mergeCell ref="H1:K2"/>
    <mergeCell ref="E3:E4"/>
    <mergeCell ref="A1:A2"/>
    <mergeCell ref="B1:E2"/>
    <mergeCell ref="G1:G2"/>
    <mergeCell ref="A3:A4"/>
    <mergeCell ref="D3:D4"/>
    <mergeCell ref="F3:K3"/>
    <mergeCell ref="B3:B4"/>
    <mergeCell ref="C3:C4"/>
  </mergeCells>
  <phoneticPr fontId="2"/>
  <printOptions horizontalCentered="1"/>
  <pageMargins left="0.39370078740157483" right="0.39370078740157483" top="0.59055118110236227" bottom="0.19685039370078741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_Docs_" ma:contentTypeID="0x003DFF212344844840A2497F3AFC625176" ma:contentTypeVersion="" ma:contentTypeDescription="" ma:contentTypeScope="" ma:versionID="a05931f803deff0421e44edce3c0abf7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e5d9eca856144ce6ca1da655f95619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AutoVersionDisabled" minOccurs="0"/>
                <xsd:element ref="ns1:ItemType" minOccurs="0"/>
                <xsd:element ref="ns1:Description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ID" ma:index="0" nillable="true" ma:displayName="ID" ma:internalName="ID" ma:readOnly="true">
      <xsd:simpleType>
        <xsd:restriction base="dms:Unknown"/>
      </xsd:simpleType>
    </xsd:element>
    <xsd:element name="ContentTypeId" ma:index="1" nillable="true" ma:displayName="Content Type ID" ma:hidden="true" ma:internalName="ContentTypeId" ma:readOnly="true">
      <xsd:simpleType>
        <xsd:restriction base="dms:Unknown"/>
      </xsd:simpleType>
    </xsd:element>
    <xsd:element name="Author" ma:index="4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8" nillable="true" ma:displayName="Copy Source" ma:internalName="_CopySource" ma:readOnly="true">
      <xsd:simpleType>
        <xsd:restriction base="dms:Text"/>
      </xsd:simpleType>
    </xsd:element>
    <xsd:element name="_ModerationStatus" ma:index="9" nillable="true" ma:displayName="Approval Status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Approver Comments" ma:hidden="true" ma:internalName="_ModerationComments" ma:readOnly="true">
      <xsd:simpleType>
        <xsd:restriction base="dms:Note"/>
      </xsd:simpleType>
    </xsd:element>
    <xsd:element name="FileRef" ma:index="11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18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19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0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2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23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4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5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6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7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1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32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33" nillable="true" ma:displayName="Source Url" ma:hidden="true" ma:internalName="_SourceUrl">
      <xsd:simpleType>
        <xsd:restriction base="dms:Text"/>
      </xsd:simpleType>
    </xsd:element>
    <xsd:element name="_SharedFileIndex" ma:index="34" nillable="true" ma:displayName="Shared File Index" ma:hidden="true" ma:internalName="_SharedFileIndex">
      <xsd:simpleType>
        <xsd:restriction base="dms:Text"/>
      </xsd:simpleType>
    </xsd:element>
    <xsd:element name="MetaInfo" ma:index="44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45" nillable="true" ma:displayName="Level" ma:hidden="true" ma:internalName="_Level" ma:readOnly="true">
      <xsd:simpleType>
        <xsd:restriction base="dms:Unknown"/>
      </xsd:simpleType>
    </xsd:element>
    <xsd:element name="_IsCurrentVersion" ma:index="46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0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1" nillable="true" ma:displayName="UI Version" ma:hidden="true" ma:internalName="_UIVersion" ma:readOnly="true">
      <xsd:simpleType>
        <xsd:restriction base="dms:Unknown"/>
      </xsd:simpleType>
    </xsd:element>
    <xsd:element name="_UIVersionString" ma:index="52" nillable="true" ma:displayName="Version" ma:internalName="_UIVersionString" ma:readOnly="true">
      <xsd:simpleType>
        <xsd:restriction base="dms:Text"/>
      </xsd:simpleType>
    </xsd:element>
    <xsd:element name="InstanceID" ma:index="53" nillable="true" ma:displayName="Instance ID" ma:hidden="true" ma:internalName="InstanceID" ma:readOnly="true">
      <xsd:simpleType>
        <xsd:restriction base="dms:Unknown"/>
      </xsd:simpleType>
    </xsd:element>
    <xsd:element name="Order" ma:index="54" nillable="true" ma:displayName="Order" ma:hidden="true" ma:internalName="Order">
      <xsd:simpleType>
        <xsd:restriction base="dms:Number"/>
      </xsd:simpleType>
    </xsd:element>
    <xsd:element name="GUID" ma:index="55" nillable="true" ma:displayName="GUID" ma:hidden="true" ma:internalName="GUID" ma:readOnly="true">
      <xsd:simpleType>
        <xsd:restriction base="dms:Unknown"/>
      </xsd:simpleType>
    </xsd:element>
    <xsd:element name="WorkflowVersion" ma:index="56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57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58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59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AutoVersionDisabled" ma:index="60" nillable="true" ma:displayName="AutoVersionDisabled" ma:default="FALSE" ma:hidden="true" ma:internalName="AutoVersionDisabled">
      <xsd:simpleType>
        <xsd:restriction base="dms:Boolean"/>
      </xsd:simpleType>
    </xsd:element>
    <xsd:element name="ItemType" ma:index="61" nillable="true" ma:displayName="ItemType" ma:default="1" ma:hidden="true" ma:internalName="ItemType">
      <xsd:simpleType>
        <xsd:restriction base="dms:Unknown"/>
      </xsd:simpleType>
    </xsd:element>
    <xsd:element name="Description" ma:index="62" nillable="true" ma:displayName="Description" ma:hidden="true" ma:internalName="Description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 ma:readOnly="tru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Url xmlns="http://schemas.microsoft.com/sharepoint/v3" xsi:nil="true"/>
    <AutoVersionDisabled xmlns="http://schemas.microsoft.com/sharepoint/v3">false</AutoVersionDisabled>
    <ItemType xmlns="http://schemas.microsoft.com/sharepoint/v3">1</ItemType>
    <Order xmlns="http://schemas.microsoft.com/sharepoint/v3" xsi:nil="true"/>
    <_SharedFileIndex xmlns="http://schemas.microsoft.com/sharepoint/v3" xsi:nil="true"/>
    <MetaInfo xmlns="http://schemas.microsoft.com/sharepoint/v3" xsi:nil="true"/>
    <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5CE3E3-FC9A-4300-B28F-F1BD09F68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145E3B5A-7340-42E8-A10A-534A2BAE458A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工事概要</vt:lpstr>
      <vt:lpstr>見積書</vt:lpstr>
      <vt:lpstr>内訳</vt:lpstr>
      <vt:lpstr>請求書</vt:lpstr>
      <vt:lpstr>指示書</vt:lpstr>
      <vt:lpstr>予算管理</vt:lpstr>
      <vt:lpstr>工事概要!Print_Area</vt:lpstr>
      <vt:lpstr>指示書!Print_Area</vt:lpstr>
      <vt:lpstr>内訳!Print_Titles</vt:lpstr>
    </vt:vector>
  </TitlesOfParts>
  <Manager>神塚　弘文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日絋建装 株式会社</dc:creator>
  <cp:lastModifiedBy>隆一 伊藤</cp:lastModifiedBy>
  <cp:lastPrinted>2026-02-11T23:26:56Z</cp:lastPrinted>
  <dcterms:created xsi:type="dcterms:W3CDTF">2001-05-11T05:28:47Z</dcterms:created>
  <dcterms:modified xsi:type="dcterms:W3CDTF">2026-02-11T23:27:57Z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