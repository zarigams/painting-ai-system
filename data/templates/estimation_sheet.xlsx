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積算集計表" sheetId="1" state="visible" r:id="rId1"/>
  </sheets>
  <definedNames>
    <definedName name="_xlnm.Print_Area" localSheetId="0">'積算集計表'!$A$1:$S$45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[$]ggge&quot;年&quot;m&quot;月&quot;d&quot;日&quot;;@"/>
  </numFmts>
  <fonts count="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sz val="11"/>
    </font>
  </fonts>
  <fills count="3">
    <fill>
      <patternFill/>
    </fill>
    <fill>
      <patternFill patternType="gray125"/>
    </fill>
    <fill>
      <patternFill patternType="gray0625"/>
    </fill>
  </fills>
  <borders count="25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 diagonalUp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 applyAlignment="1">
      <alignment vertical="center"/>
    </xf>
    <xf numFmtId="0" fontId="5" fillId="0" borderId="0"/>
    <xf numFmtId="38" fontId="5" fillId="0" borderId="0"/>
  </cellStyleXfs>
  <cellXfs count="8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4" fontId="0" fillId="0" borderId="4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64" fontId="2" fillId="0" borderId="6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2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164" fontId="0" fillId="2" borderId="7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16" applyAlignment="1" pivotButton="0" quotePrefix="0" xfId="0">
      <alignment vertical="center"/>
    </xf>
    <xf numFmtId="164" fontId="0" fillId="0" borderId="16" applyAlignment="1" pivotButton="0" quotePrefix="0" xfId="0">
      <alignment vertical="center"/>
    </xf>
    <xf numFmtId="164" fontId="0" fillId="2" borderId="16" applyAlignment="1" pivotButton="0" quotePrefix="0" xfId="0">
      <alignment vertical="center"/>
    </xf>
    <xf numFmtId="164" fontId="0" fillId="0" borderId="17" applyAlignment="1" pivotButton="0" quotePrefix="0" xfId="0">
      <alignment vertical="center"/>
    </xf>
    <xf numFmtId="164" fontId="2" fillId="0" borderId="19" applyAlignment="1" pivotButton="0" quotePrefix="0" xfId="0">
      <alignment vertical="center"/>
    </xf>
    <xf numFmtId="0" fontId="0" fillId="2" borderId="20" applyAlignment="1" pivotButton="0" quotePrefix="0" xfId="0">
      <alignment vertical="center"/>
    </xf>
    <xf numFmtId="164" fontId="2" fillId="0" borderId="20" applyAlignment="1" pivotButton="0" quotePrefix="0" xfId="0">
      <alignment vertical="center"/>
    </xf>
    <xf numFmtId="164" fontId="0" fillId="0" borderId="20" applyAlignment="1" pivotButton="0" quotePrefix="0" xfId="0">
      <alignment vertical="center"/>
    </xf>
    <xf numFmtId="164" fontId="0" fillId="2" borderId="20" applyAlignment="1" pivotButton="0" quotePrefix="0" xfId="0">
      <alignment vertical="center"/>
    </xf>
    <xf numFmtId="164" fontId="0" fillId="0" borderId="21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64" fontId="0" fillId="0" borderId="22" applyAlignment="1" pivotButton="0" quotePrefix="0" xfId="0">
      <alignment vertical="center"/>
    </xf>
    <xf numFmtId="164" fontId="0" fillId="2" borderId="22" applyAlignment="1" pivotButton="0" quotePrefix="0" xfId="0">
      <alignment vertical="center"/>
    </xf>
    <xf numFmtId="164" fontId="3" fillId="0" borderId="22" applyAlignment="1" pivotButton="0" quotePrefix="0" xfId="0">
      <alignment vertical="center"/>
    </xf>
    <xf numFmtId="164" fontId="3" fillId="2" borderId="22" applyAlignment="1" pivotButton="0" quotePrefix="0" xfId="0">
      <alignment vertical="center"/>
    </xf>
    <xf numFmtId="164" fontId="2" fillId="0" borderId="24" applyAlignment="1" pivotButton="0" quotePrefix="0" xfId="0">
      <alignment vertical="center"/>
    </xf>
    <xf numFmtId="0" fontId="2" fillId="0" borderId="23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right"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12" applyAlignment="1" pivotButton="0" quotePrefix="0" xfId="0">
      <alignment horizontal="right" vertical="center" shrinkToFit="1"/>
    </xf>
    <xf numFmtId="0" fontId="0" fillId="0" borderId="15" applyAlignment="1" pivotButton="0" quotePrefix="0" xfId="0">
      <alignment horizontal="right" vertical="center" shrinkToFit="1"/>
    </xf>
    <xf numFmtId="0" fontId="0" fillId="0" borderId="13" applyAlignment="1" pivotButton="0" quotePrefix="0" xfId="0">
      <alignment horizontal="right" vertical="center" shrinkToFit="1"/>
    </xf>
    <xf numFmtId="0" fontId="2" fillId="0" borderId="13" applyAlignment="1" pivotButton="0" quotePrefix="0" xfId="0">
      <alignment horizontal="right" vertical="center" shrinkToFit="1"/>
    </xf>
    <xf numFmtId="0" fontId="0" fillId="0" borderId="18" applyAlignment="1" pivotButton="0" quotePrefix="0" xfId="0">
      <alignment horizontal="right" vertical="center" shrinkToFit="1"/>
    </xf>
    <xf numFmtId="0" fontId="0" fillId="0" borderId="14" applyAlignment="1" pivotButton="0" quotePrefix="0" xfId="0">
      <alignment horizontal="right" vertical="center" shrinkToFit="1"/>
    </xf>
    <xf numFmtId="0" fontId="4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4" fontId="2" fillId="0" borderId="24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16" applyAlignment="1" pivotButton="0" quotePrefix="0" xfId="0">
      <alignment vertical="center"/>
    </xf>
    <xf numFmtId="164" fontId="0" fillId="0" borderId="16" applyAlignment="1" pivotButton="0" quotePrefix="0" xfId="0">
      <alignment vertical="center"/>
    </xf>
    <xf numFmtId="164" fontId="0" fillId="2" borderId="16" applyAlignment="1" pivotButton="0" quotePrefix="0" xfId="0">
      <alignment vertical="center"/>
    </xf>
    <xf numFmtId="164" fontId="0" fillId="0" borderId="17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2" borderId="4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22" applyAlignment="1" pivotButton="0" quotePrefix="0" xfId="0">
      <alignment vertical="center"/>
    </xf>
    <xf numFmtId="164" fontId="0" fillId="2" borderId="22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64" fontId="3" fillId="0" borderId="22" applyAlignment="1" pivotButton="0" quotePrefix="0" xfId="0">
      <alignment vertical="center"/>
    </xf>
    <xf numFmtId="164" fontId="3" fillId="2" borderId="22" applyAlignment="1" pivotButton="0" quotePrefix="0" xfId="0">
      <alignment vertical="center"/>
    </xf>
    <xf numFmtId="164" fontId="2" fillId="0" borderId="19" applyAlignment="1" pivotButton="0" quotePrefix="0" xfId="0">
      <alignment vertical="center"/>
    </xf>
    <xf numFmtId="164" fontId="2" fillId="0" borderId="20" applyAlignment="1" pivotButton="0" quotePrefix="0" xfId="0">
      <alignment vertical="center"/>
    </xf>
    <xf numFmtId="164" fontId="0" fillId="0" borderId="20" applyAlignment="1" pivotButton="0" quotePrefix="0" xfId="0">
      <alignment vertical="center"/>
    </xf>
    <xf numFmtId="164" fontId="0" fillId="2" borderId="20" applyAlignment="1" pivotButton="0" quotePrefix="0" xfId="0">
      <alignment vertical="center"/>
    </xf>
    <xf numFmtId="164" fontId="0" fillId="0" borderId="21" applyAlignment="1" pivotButton="0" quotePrefix="0" xfId="0">
      <alignment vertical="center"/>
    </xf>
    <xf numFmtId="164" fontId="2" fillId="0" borderId="6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2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3">
    <cellStyle name="標準" xfId="0" builtinId="0"/>
    <cellStyle name="標準 2" xfId="1"/>
    <cellStyle name="桁区切り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tabSelected="1" view="pageBreakPreview" zoomScale="90" zoomScaleNormal="100" zoomScaleSheetLayoutView="90" workbookViewId="0">
      <selection activeCell="C46" sqref="C46"/>
    </sheetView>
  </sheetViews>
  <sheetFormatPr baseColWidth="8" defaultRowHeight="13.5"/>
  <cols>
    <col width="13.875" customWidth="1" style="41" min="1" max="1"/>
    <col width="5" customWidth="1" style="52" min="3" max="3"/>
    <col width="5" customWidth="1" style="52" min="7" max="7"/>
    <col width="5" customWidth="1" style="52" min="11" max="11"/>
    <col width="5" customWidth="1" style="52" min="15" max="15"/>
    <col width="5" customWidth="1" style="52" min="19" max="19"/>
  </cols>
  <sheetData>
    <row r="1" ht="27" customHeight="1" s="52">
      <c r="A1" s="41" t="inlineStr"/>
      <c r="B1" s="0" t="inlineStr">
        <is>
          <t>邸</t>
        </is>
      </c>
      <c r="C1" s="0" t="inlineStr">
        <is>
          <t>住所：</t>
        </is>
      </c>
      <c r="D1" s="0" t="inlineStr"/>
    </row>
    <row r="2">
      <c r="A2" s="42" t="inlineStr">
        <is>
          <t>外壁種別：</t>
        </is>
      </c>
      <c r="B2" s="0" t="inlineStr"/>
      <c r="E2" s="0" t="inlineStr">
        <is>
          <t>会社：</t>
        </is>
      </c>
      <c r="F2" s="0" t="inlineStr"/>
      <c r="J2" s="0" t="inlineStr">
        <is>
          <t>現調日：</t>
        </is>
      </c>
      <c r="K2" s="53" t="inlineStr">
        <is>
          <t>なし</t>
        </is>
      </c>
    </row>
    <row r="3">
      <c r="A3" s="42" t="inlineStr">
        <is>
          <t>屋根：</t>
        </is>
      </c>
      <c r="B3" s="0" t="inlineStr"/>
      <c r="E3" s="0" t="inlineStr">
        <is>
          <t>担当：</t>
        </is>
      </c>
      <c r="F3" s="0" t="inlineStr"/>
    </row>
    <row r="4">
      <c r="A4" s="43" t="n"/>
      <c r="B4" s="40" t="inlineStr">
        <is>
          <t>総計</t>
        </is>
      </c>
      <c r="C4" s="11" t="inlineStr">
        <is>
          <t>単位</t>
        </is>
      </c>
      <c r="D4" s="7" t="inlineStr">
        <is>
          <t>東面</t>
        </is>
      </c>
      <c r="E4" s="7" t="inlineStr">
        <is>
          <t>開口部</t>
        </is>
      </c>
      <c r="F4" s="7" t="inlineStr">
        <is>
          <t>計</t>
        </is>
      </c>
      <c r="G4" s="7" t="inlineStr">
        <is>
          <t>単位</t>
        </is>
      </c>
      <c r="H4" s="7" t="inlineStr">
        <is>
          <t>西面</t>
        </is>
      </c>
      <c r="I4" s="7" t="inlineStr">
        <is>
          <t>開口部</t>
        </is>
      </c>
      <c r="J4" s="7" t="inlineStr">
        <is>
          <t>計</t>
        </is>
      </c>
      <c r="K4" s="7" t="inlineStr">
        <is>
          <t>単位</t>
        </is>
      </c>
      <c r="L4" s="7" t="inlineStr">
        <is>
          <t>南面</t>
        </is>
      </c>
      <c r="M4" s="7" t="inlineStr">
        <is>
          <t>開口部</t>
        </is>
      </c>
      <c r="N4" s="7" t="inlineStr">
        <is>
          <t>計</t>
        </is>
      </c>
      <c r="O4" s="7" t="inlineStr">
        <is>
          <t>単位</t>
        </is>
      </c>
      <c r="P4" s="7" t="inlineStr">
        <is>
          <t>北面</t>
        </is>
      </c>
      <c r="Q4" s="7" t="inlineStr">
        <is>
          <t>開口部</t>
        </is>
      </c>
      <c r="R4" s="7" t="inlineStr">
        <is>
          <t>計</t>
        </is>
      </c>
      <c r="S4" s="8" t="inlineStr">
        <is>
          <t>単位</t>
        </is>
      </c>
    </row>
    <row r="5">
      <c r="A5" s="44" t="inlineStr">
        <is>
          <t>足場</t>
        </is>
      </c>
      <c r="B5" s="54">
        <f>F5+J5+N5+R5</f>
        <v/>
      </c>
      <c r="C5" s="55" t="inlineStr">
        <is>
          <t>㎡</t>
        </is>
      </c>
      <c r="D5" s="56" t="n"/>
      <c r="E5" s="57" t="n"/>
      <c r="F5" s="56">
        <f>D5-E5</f>
        <v/>
      </c>
      <c r="G5" s="56">
        <f>+C5</f>
        <v/>
      </c>
      <c r="H5" s="56" t="n"/>
      <c r="I5" s="57" t="n"/>
      <c r="J5" s="56">
        <f>H5-I5</f>
        <v/>
      </c>
      <c r="K5" s="56">
        <f>+C5</f>
        <v/>
      </c>
      <c r="L5" s="56" t="n"/>
      <c r="M5" s="57" t="n"/>
      <c r="N5" s="56">
        <f>L5-M5</f>
        <v/>
      </c>
      <c r="O5" s="56">
        <f>+C5</f>
        <v/>
      </c>
      <c r="P5" s="56" t="n"/>
      <c r="Q5" s="57" t="n"/>
      <c r="R5" s="56">
        <f>P5-Q5</f>
        <v/>
      </c>
      <c r="S5" s="58">
        <f>+C5</f>
        <v/>
      </c>
    </row>
    <row r="6">
      <c r="A6" s="45" t="inlineStr">
        <is>
          <t>屋根</t>
        </is>
      </c>
      <c r="B6" s="59">
        <f>F6+J6+N6+R6</f>
        <v/>
      </c>
      <c r="C6" s="60" t="inlineStr">
        <is>
          <t>㎡</t>
        </is>
      </c>
      <c r="D6" s="61" t="n"/>
      <c r="E6" s="62" t="n"/>
      <c r="F6" s="61">
        <f>D6-E6</f>
        <v/>
      </c>
      <c r="G6" s="61">
        <f>+C6</f>
        <v/>
      </c>
      <c r="H6" s="61" t="n"/>
      <c r="I6" s="62" t="n"/>
      <c r="J6" s="61">
        <f>H6-I6</f>
        <v/>
      </c>
      <c r="K6" s="61">
        <f>+C6</f>
        <v/>
      </c>
      <c r="L6" s="61" t="n"/>
      <c r="M6" s="62" t="n"/>
      <c r="N6" s="61">
        <f>L6-M6</f>
        <v/>
      </c>
      <c r="O6" s="61">
        <f>+C6</f>
        <v/>
      </c>
      <c r="P6" s="61" t="n"/>
      <c r="Q6" s="62" t="n">
        <v>1.68</v>
      </c>
      <c r="R6" s="61">
        <f>P6-Q6</f>
        <v/>
      </c>
      <c r="S6" s="63">
        <f>+C6</f>
        <v/>
      </c>
    </row>
    <row r="7">
      <c r="A7" s="45" t="inlineStr">
        <is>
          <t>ﾄｯﾌﾟﾗｲﾄ廻りｼｰﾙ</t>
        </is>
      </c>
      <c r="B7" s="59">
        <f>F7+J7+N7+R7</f>
        <v/>
      </c>
      <c r="C7" s="64" t="inlineStr">
        <is>
          <t>ｍ</t>
        </is>
      </c>
      <c r="D7" s="65" t="n"/>
      <c r="E7" s="66" t="n"/>
      <c r="F7" s="65">
        <f>D7-E7</f>
        <v/>
      </c>
      <c r="G7" s="65">
        <f>+C7</f>
        <v/>
      </c>
      <c r="H7" s="65" t="n"/>
      <c r="I7" s="66" t="n"/>
      <c r="J7" s="65">
        <f>H7-I7</f>
        <v/>
      </c>
      <c r="K7" s="65">
        <f>+C7</f>
        <v/>
      </c>
      <c r="L7" s="65" t="n"/>
      <c r="M7" s="66" t="n"/>
      <c r="N7" s="65">
        <f>L7-M7</f>
        <v/>
      </c>
      <c r="O7" s="65">
        <f>+C7</f>
        <v/>
      </c>
      <c r="P7" s="65" t="n"/>
      <c r="Q7" s="66" t="n"/>
      <c r="R7" s="65">
        <f>P7-Q7</f>
        <v/>
      </c>
      <c r="S7" s="67">
        <f>+C7</f>
        <v/>
      </c>
    </row>
    <row r="8">
      <c r="A8" s="46" t="inlineStr">
        <is>
          <t>屋根取合鉄部</t>
        </is>
      </c>
      <c r="B8" s="59">
        <f>F8+J8+N8+R8</f>
        <v/>
      </c>
      <c r="C8" s="64" t="inlineStr">
        <is>
          <t>ｍ</t>
        </is>
      </c>
      <c r="D8" s="65" t="n"/>
      <c r="E8" s="66" t="n"/>
      <c r="F8" s="65">
        <f>D8-E8</f>
        <v/>
      </c>
      <c r="G8" s="65">
        <f>+C8</f>
        <v/>
      </c>
      <c r="H8" s="65" t="n"/>
      <c r="I8" s="66" t="n"/>
      <c r="J8" s="65">
        <f>H8-I8</f>
        <v/>
      </c>
      <c r="K8" s="65">
        <f>+C8</f>
        <v/>
      </c>
      <c r="L8" s="65" t="n"/>
      <c r="M8" s="66" t="n"/>
      <c r="N8" s="65">
        <f>L8-M8</f>
        <v/>
      </c>
      <c r="O8" s="65">
        <f>+C8</f>
        <v/>
      </c>
      <c r="P8" s="65" t="n"/>
      <c r="Q8" s="66" t="n"/>
      <c r="R8" s="65">
        <f>P8-Q8</f>
        <v/>
      </c>
      <c r="S8" s="67">
        <f>+C8</f>
        <v/>
      </c>
    </row>
    <row r="9">
      <c r="A9" s="46" t="inlineStr">
        <is>
          <t>破風・鼻隠</t>
        </is>
      </c>
      <c r="B9" s="59">
        <f>F9+J9+N9+R9</f>
        <v/>
      </c>
      <c r="C9" s="64" t="inlineStr">
        <is>
          <t>ｍ</t>
        </is>
      </c>
      <c r="D9" s="65" t="n"/>
      <c r="E9" s="66" t="n"/>
      <c r="F9" s="65">
        <f>D9-E9</f>
        <v/>
      </c>
      <c r="G9" s="65">
        <f>+C9</f>
        <v/>
      </c>
      <c r="H9" s="65" t="n"/>
      <c r="I9" s="66" t="n"/>
      <c r="J9" s="65">
        <f>H9-I9</f>
        <v/>
      </c>
      <c r="K9" s="65">
        <f>+C9</f>
        <v/>
      </c>
      <c r="L9" s="65" t="n"/>
      <c r="M9" s="66" t="n"/>
      <c r="N9" s="65">
        <f>L9-M9</f>
        <v/>
      </c>
      <c r="O9" s="65">
        <f>+C9</f>
        <v/>
      </c>
      <c r="P9" s="65" t="n"/>
      <c r="Q9" s="66" t="n"/>
      <c r="R9" s="65">
        <f>P9-Q9</f>
        <v/>
      </c>
      <c r="S9" s="67">
        <f>+C9</f>
        <v/>
      </c>
    </row>
    <row r="10">
      <c r="A10" s="46" t="inlineStr">
        <is>
          <t>軒天</t>
        </is>
      </c>
      <c r="B10" s="59">
        <f>F10+J10+N10+R10</f>
        <v/>
      </c>
      <c r="C10" s="64" t="inlineStr">
        <is>
          <t>㎡</t>
        </is>
      </c>
      <c r="D10" s="65" t="n"/>
      <c r="E10" s="66" t="n"/>
      <c r="F10" s="65">
        <f>D10-E10</f>
        <v/>
      </c>
      <c r="G10" s="65">
        <f>+C10</f>
        <v/>
      </c>
      <c r="H10" s="65" t="n"/>
      <c r="I10" s="66" t="n"/>
      <c r="J10" s="65">
        <f>H10-I10</f>
        <v/>
      </c>
      <c r="K10" s="65">
        <f>+C10</f>
        <v/>
      </c>
      <c r="L10" s="65" t="n"/>
      <c r="M10" s="66" t="n"/>
      <c r="N10" s="65">
        <f>L10-M10</f>
        <v/>
      </c>
      <c r="O10" s="65">
        <f>+C10</f>
        <v/>
      </c>
      <c r="P10" s="65" t="n"/>
      <c r="Q10" s="66" t="n"/>
      <c r="R10" s="65">
        <f>P10-Q10</f>
        <v/>
      </c>
      <c r="S10" s="67">
        <f>+C10</f>
        <v/>
      </c>
    </row>
    <row r="11">
      <c r="A11" s="46" t="n"/>
      <c r="B11" s="59" t="n"/>
      <c r="C11" s="64" t="n"/>
      <c r="D11" s="65" t="n"/>
      <c r="E11" s="66" t="n"/>
      <c r="F11" s="65" t="n"/>
      <c r="G11" s="65" t="n"/>
      <c r="H11" s="65" t="n"/>
      <c r="I11" s="66" t="n"/>
      <c r="J11" s="65" t="n"/>
      <c r="K11" s="65" t="n"/>
      <c r="L11" s="65" t="n"/>
      <c r="M11" s="66" t="n"/>
      <c r="N11" s="65" t="n"/>
      <c r="O11" s="65" t="n"/>
      <c r="P11" s="65" t="n"/>
      <c r="Q11" s="66" t="n"/>
      <c r="R11" s="65" t="n"/>
      <c r="S11" s="67" t="n"/>
    </row>
    <row r="12">
      <c r="A12" s="46" t="inlineStr">
        <is>
          <t>玄関庇軒天</t>
        </is>
      </c>
      <c r="B12" s="59">
        <f>F12+J12+N12+R12</f>
        <v/>
      </c>
      <c r="C12" s="64" t="inlineStr">
        <is>
          <t>㎡</t>
        </is>
      </c>
      <c r="D12" s="65" t="n"/>
      <c r="E12" s="66" t="n"/>
      <c r="F12" s="65">
        <f>D12-E12</f>
        <v/>
      </c>
      <c r="G12" s="65">
        <f>+C12</f>
        <v/>
      </c>
      <c r="H12" s="65" t="n"/>
      <c r="I12" s="66" t="n"/>
      <c r="J12" s="65">
        <f>H12-I12</f>
        <v/>
      </c>
      <c r="K12" s="65">
        <f>+C12</f>
        <v/>
      </c>
      <c r="L12" s="65" t="n"/>
      <c r="M12" s="66" t="n"/>
      <c r="N12" s="65">
        <f>L12-M12</f>
        <v/>
      </c>
      <c r="O12" s="65">
        <f>+C12</f>
        <v/>
      </c>
      <c r="P12" s="65" t="n"/>
      <c r="Q12" s="66" t="n"/>
      <c r="R12" s="65">
        <f>P12-Q12</f>
        <v/>
      </c>
      <c r="S12" s="67">
        <f>+C12</f>
        <v/>
      </c>
    </row>
    <row r="13">
      <c r="A13" s="46" t="inlineStr">
        <is>
          <t>ﾍﾞﾗﾝﾀﾞ軒天</t>
        </is>
      </c>
      <c r="B13" s="59">
        <f>F13+J13+N13+R13</f>
        <v/>
      </c>
      <c r="C13" s="64" t="inlineStr">
        <is>
          <t>㎡</t>
        </is>
      </c>
      <c r="D13" s="65" t="n"/>
      <c r="E13" s="66" t="n"/>
      <c r="F13" s="65">
        <f>D13-E13</f>
        <v/>
      </c>
      <c r="G13" s="65">
        <f>+C13</f>
        <v/>
      </c>
      <c r="H13" s="65" t="n"/>
      <c r="I13" s="66" t="n"/>
      <c r="J13" s="65">
        <f>H13-I13</f>
        <v/>
      </c>
      <c r="K13" s="65">
        <f>+C13</f>
        <v/>
      </c>
      <c r="L13" s="65" t="n"/>
      <c r="M13" s="66" t="n"/>
      <c r="N13" s="65">
        <f>L13-M13</f>
        <v/>
      </c>
      <c r="O13" s="65">
        <f>+C13</f>
        <v/>
      </c>
      <c r="P13" s="65" t="n"/>
      <c r="Q13" s="66" t="n"/>
      <c r="R13" s="65">
        <f>P13-Q13</f>
        <v/>
      </c>
      <c r="S13" s="67">
        <f>+C13</f>
        <v/>
      </c>
    </row>
    <row r="14">
      <c r="A14" s="47" t="inlineStr">
        <is>
          <t>軒天合計</t>
        </is>
      </c>
      <c r="B14" s="59">
        <f>F14+J14+N14+R14</f>
        <v/>
      </c>
      <c r="C14" s="64" t="inlineStr">
        <is>
          <t>㎡</t>
        </is>
      </c>
      <c r="D14" s="68" t="n"/>
      <c r="E14" s="69" t="n"/>
      <c r="F14" s="70">
        <f>+SUM(F12:F13)</f>
        <v/>
      </c>
      <c r="G14" s="65">
        <f>+C14</f>
        <v/>
      </c>
      <c r="H14" s="71" t="n"/>
      <c r="I14" s="72" t="n"/>
      <c r="J14" s="70">
        <f>+SUM(J12:J13)</f>
        <v/>
      </c>
      <c r="K14" s="65">
        <f>+C14</f>
        <v/>
      </c>
      <c r="L14" s="71" t="n"/>
      <c r="M14" s="72" t="n"/>
      <c r="N14" s="70">
        <f>+SUM(N12:N13)</f>
        <v/>
      </c>
      <c r="O14" s="65">
        <f>+C14</f>
        <v/>
      </c>
      <c r="P14" s="71" t="n"/>
      <c r="Q14" s="72" t="n"/>
      <c r="R14" s="70">
        <f>+SUM(R12:R13)</f>
        <v/>
      </c>
      <c r="S14" s="67">
        <f>+C14</f>
        <v/>
      </c>
    </row>
    <row r="15">
      <c r="A15" s="46" t="n"/>
      <c r="B15" s="59" t="n"/>
      <c r="C15" s="64" t="n"/>
      <c r="D15" s="65" t="n"/>
      <c r="E15" s="66" t="n"/>
      <c r="F15" s="65" t="n"/>
      <c r="G15" s="65" t="n"/>
      <c r="H15" s="65" t="n"/>
      <c r="I15" s="66" t="n"/>
      <c r="J15" s="65" t="n"/>
      <c r="K15" s="65" t="n"/>
      <c r="L15" s="65" t="n"/>
      <c r="M15" s="66" t="n"/>
      <c r="N15" s="65" t="n"/>
      <c r="O15" s="65" t="n"/>
      <c r="P15" s="65" t="n"/>
      <c r="Q15" s="66" t="n"/>
      <c r="R15" s="65" t="n"/>
      <c r="S15" s="67" t="n"/>
    </row>
    <row r="16">
      <c r="A16" s="46" t="inlineStr">
        <is>
          <t>外壁ﾓﾙﾀﾙ部</t>
        </is>
      </c>
      <c r="B16" s="59">
        <f>F16+J16+N16+R16</f>
        <v/>
      </c>
      <c r="C16" s="64" t="inlineStr">
        <is>
          <t>㎡</t>
        </is>
      </c>
      <c r="D16" s="65" t="n"/>
      <c r="E16" s="66" t="n"/>
      <c r="F16" s="65">
        <f>D16-E16</f>
        <v/>
      </c>
      <c r="G16" s="65">
        <f>+C16</f>
        <v/>
      </c>
      <c r="H16" s="65" t="n"/>
      <c r="I16" s="66" t="n"/>
      <c r="J16" s="65">
        <f>H16-I16</f>
        <v/>
      </c>
      <c r="K16" s="65">
        <f>+C16</f>
        <v/>
      </c>
      <c r="L16" s="65" t="n"/>
      <c r="M16" s="66" t="n"/>
      <c r="N16" s="65">
        <f>L16-M16</f>
        <v/>
      </c>
      <c r="O16" s="65">
        <f>+C16</f>
        <v/>
      </c>
      <c r="P16" s="65" t="n"/>
      <c r="Q16" s="66" t="n"/>
      <c r="R16" s="65">
        <f>P16-Q16</f>
        <v/>
      </c>
      <c r="S16" s="67">
        <f>+C16</f>
        <v/>
      </c>
    </row>
    <row r="17">
      <c r="A17" s="46" t="inlineStr">
        <is>
          <t>外壁ｻｲﾃﾞｨﾝｸﾞ部</t>
        </is>
      </c>
      <c r="B17" s="59">
        <f>F17+J17+N17+R17</f>
        <v/>
      </c>
      <c r="C17" s="64" t="inlineStr">
        <is>
          <t>㎡</t>
        </is>
      </c>
      <c r="D17" s="65" t="n"/>
      <c r="E17" s="66" t="n"/>
      <c r="F17" s="65">
        <f>D17-E17</f>
        <v/>
      </c>
      <c r="G17" s="65">
        <f>+C17</f>
        <v/>
      </c>
      <c r="H17" s="65" t="n"/>
      <c r="I17" s="66" t="n">
        <v>8.460000000000001</v>
      </c>
      <c r="J17" s="65">
        <f>H17-I17</f>
        <v/>
      </c>
      <c r="K17" s="65">
        <f>+C17</f>
        <v/>
      </c>
      <c r="L17" s="65" t="n"/>
      <c r="M17" s="66" t="n">
        <v>24.8</v>
      </c>
      <c r="N17" s="65">
        <f>L17-M17</f>
        <v/>
      </c>
      <c r="O17" s="65">
        <f>+C17</f>
        <v/>
      </c>
      <c r="P17" s="65" t="n"/>
      <c r="Q17" s="66" t="n">
        <v>13.525</v>
      </c>
      <c r="R17" s="65">
        <f>P17-Q17</f>
        <v/>
      </c>
      <c r="S17" s="67">
        <f>+C17</f>
        <v/>
      </c>
    </row>
    <row r="18">
      <c r="A18" s="46" t="n"/>
      <c r="B18" s="59" t="n"/>
      <c r="C18" s="64" t="n"/>
      <c r="D18" s="65" t="n"/>
      <c r="E18" s="66" t="n"/>
      <c r="F18" s="65" t="n"/>
      <c r="G18" s="65" t="n"/>
      <c r="H18" s="65" t="n"/>
      <c r="I18" s="66" t="n"/>
      <c r="J18" s="65" t="n"/>
      <c r="K18" s="65" t="n"/>
      <c r="L18" s="65" t="n"/>
      <c r="M18" s="66" t="n"/>
      <c r="N18" s="65" t="n"/>
      <c r="O18" s="65" t="n"/>
      <c r="P18" s="65" t="n"/>
      <c r="Q18" s="66" t="n"/>
      <c r="R18" s="65" t="n"/>
      <c r="S18" s="67" t="n"/>
    </row>
    <row r="19">
      <c r="A19" s="46" t="inlineStr">
        <is>
          <t>SB</t>
        </is>
      </c>
      <c r="B19" s="59">
        <f>F19+J19+N19+R19</f>
        <v/>
      </c>
      <c r="C19" s="64" t="inlineStr">
        <is>
          <t>ｍ</t>
        </is>
      </c>
      <c r="D19" s="65" t="n"/>
      <c r="E19" s="66" t="n"/>
      <c r="F19" s="65">
        <f>D19-E19</f>
        <v/>
      </c>
      <c r="G19" s="65">
        <f>+C19</f>
        <v/>
      </c>
      <c r="H19" s="65" t="n"/>
      <c r="I19" s="66" t="n"/>
      <c r="J19" s="65">
        <f>H19-I19</f>
        <v/>
      </c>
      <c r="K19" s="65">
        <f>+C19</f>
        <v/>
      </c>
      <c r="L19" s="65" t="n"/>
      <c r="M19" s="66" t="n"/>
      <c r="N19" s="65">
        <f>L19-M19</f>
        <v/>
      </c>
      <c r="O19" s="65">
        <f>+C19</f>
        <v/>
      </c>
      <c r="P19" s="65" t="n"/>
      <c r="Q19" s="66" t="n"/>
      <c r="R19" s="65">
        <f>P19-Q19</f>
        <v/>
      </c>
      <c r="S19" s="67">
        <f>+C19</f>
        <v/>
      </c>
    </row>
    <row r="20">
      <c r="A20" s="46" t="n"/>
      <c r="B20" s="59" t="n"/>
      <c r="C20" s="64" t="n"/>
      <c r="D20" s="65" t="n"/>
      <c r="E20" s="66" t="n"/>
      <c r="F20" s="65" t="n"/>
      <c r="G20" s="65" t="n"/>
      <c r="H20" s="65" t="n"/>
      <c r="I20" s="66" t="n"/>
      <c r="J20" s="65" t="n"/>
      <c r="K20" s="65" t="n"/>
      <c r="L20" s="65" t="n"/>
      <c r="M20" s="66" t="n"/>
      <c r="N20" s="65" t="n"/>
      <c r="O20" s="65" t="n"/>
      <c r="P20" s="65" t="n"/>
      <c r="Q20" s="66" t="n"/>
      <c r="R20" s="65" t="n"/>
      <c r="S20" s="67" t="n"/>
    </row>
    <row r="21">
      <c r="A21" s="46" t="inlineStr">
        <is>
          <t>土台水切</t>
        </is>
      </c>
      <c r="B21" s="59">
        <f>F21+J21+N21+R21</f>
        <v/>
      </c>
      <c r="C21" s="64" t="inlineStr">
        <is>
          <t>ｍ</t>
        </is>
      </c>
      <c r="D21" s="65" t="n"/>
      <c r="E21" s="66" t="n"/>
      <c r="F21" s="65">
        <f>D21-E21</f>
        <v/>
      </c>
      <c r="G21" s="65">
        <f>+C21</f>
        <v/>
      </c>
      <c r="H21" s="65" t="n"/>
      <c r="I21" s="66" t="n"/>
      <c r="J21" s="65">
        <f>H21-I21</f>
        <v/>
      </c>
      <c r="K21" s="65">
        <f>+C21</f>
        <v/>
      </c>
      <c r="L21" s="65" t="n"/>
      <c r="M21" s="66" t="n"/>
      <c r="N21" s="65">
        <f>L21-M21</f>
        <v/>
      </c>
      <c r="O21" s="65">
        <f>+C21</f>
        <v/>
      </c>
      <c r="P21" s="65" t="n"/>
      <c r="Q21" s="66" t="n"/>
      <c r="R21" s="65">
        <f>P21-Q21</f>
        <v/>
      </c>
      <c r="S21" s="67">
        <f>+C21</f>
        <v/>
      </c>
    </row>
    <row r="22">
      <c r="A22" s="46" t="inlineStr">
        <is>
          <t>中間水切</t>
        </is>
      </c>
      <c r="B22" s="59">
        <f>F22+J22+N22+R22</f>
        <v/>
      </c>
      <c r="C22" s="64" t="inlineStr">
        <is>
          <t>ｍ</t>
        </is>
      </c>
      <c r="D22" s="65" t="n"/>
      <c r="E22" s="66" t="n"/>
      <c r="F22" s="65">
        <f>D22-E22</f>
        <v/>
      </c>
      <c r="G22" s="65">
        <f>+C22</f>
        <v/>
      </c>
      <c r="H22" s="65" t="n"/>
      <c r="I22" s="66" t="n"/>
      <c r="J22" s="65">
        <f>H22-I22</f>
        <v/>
      </c>
      <c r="K22" s="65">
        <f>+C22</f>
        <v/>
      </c>
      <c r="L22" s="65" t="n"/>
      <c r="M22" s="66" t="n"/>
      <c r="N22" s="65">
        <f>L22-M22</f>
        <v/>
      </c>
      <c r="O22" s="65">
        <f>+C22</f>
        <v/>
      </c>
      <c r="P22" s="65" t="n"/>
      <c r="Q22" s="66" t="n"/>
      <c r="R22" s="65">
        <f>P22-Q22</f>
        <v/>
      </c>
      <c r="S22" s="67">
        <f>+C22</f>
        <v/>
      </c>
    </row>
    <row r="23">
      <c r="A23" s="46" t="inlineStr">
        <is>
          <t>ベランダ水切</t>
        </is>
      </c>
      <c r="B23" s="59">
        <f>F23+J23+N23+R23</f>
        <v/>
      </c>
      <c r="C23" s="64" t="inlineStr">
        <is>
          <t>ｍ</t>
        </is>
      </c>
      <c r="D23" s="65" t="n"/>
      <c r="E23" s="66" t="n"/>
      <c r="F23" s="65">
        <f>D23-E23</f>
        <v/>
      </c>
      <c r="G23" s="65">
        <f>+C23</f>
        <v/>
      </c>
      <c r="H23" s="65" t="n"/>
      <c r="I23" s="66" t="n"/>
      <c r="J23" s="65">
        <f>H23-I23</f>
        <v/>
      </c>
      <c r="K23" s="65">
        <f>+C23</f>
        <v/>
      </c>
      <c r="L23" s="65" t="n"/>
      <c r="M23" s="66" t="n"/>
      <c r="N23" s="65">
        <f>L23-M23</f>
        <v/>
      </c>
      <c r="O23" s="65">
        <f>+C23</f>
        <v/>
      </c>
      <c r="P23" s="65" t="n"/>
      <c r="Q23" s="66" t="n"/>
      <c r="R23" s="65">
        <f>P23-Q23</f>
        <v/>
      </c>
      <c r="S23" s="67">
        <f>+C23</f>
        <v/>
      </c>
    </row>
    <row r="24">
      <c r="A24" s="47" t="inlineStr">
        <is>
          <t>水切合計</t>
        </is>
      </c>
      <c r="B24" s="59">
        <f>+SUM(B21:B23)</f>
        <v/>
      </c>
      <c r="C24" s="64" t="inlineStr">
        <is>
          <t>ｍ</t>
        </is>
      </c>
      <c r="D24" s="68" t="n"/>
      <c r="E24" s="69" t="n"/>
      <c r="F24" s="70">
        <f>+SUM(F21:F23)</f>
        <v/>
      </c>
      <c r="G24" s="65">
        <f>+C24</f>
        <v/>
      </c>
      <c r="H24" s="71" t="n"/>
      <c r="I24" s="72" t="n"/>
      <c r="J24" s="70">
        <f>+SUM(J21:J23)</f>
        <v/>
      </c>
      <c r="K24" s="65">
        <f>+C24</f>
        <v/>
      </c>
      <c r="L24" s="71" t="n"/>
      <c r="M24" s="72" t="n"/>
      <c r="N24" s="70">
        <f>+SUM(N21:N23)</f>
        <v/>
      </c>
      <c r="O24" s="65">
        <f>+C24</f>
        <v/>
      </c>
      <c r="P24" s="71" t="n"/>
      <c r="Q24" s="72" t="n"/>
      <c r="R24" s="70">
        <f>+SUM(R21:R23)</f>
        <v/>
      </c>
      <c r="S24" s="67">
        <f>+C24</f>
        <v/>
      </c>
    </row>
    <row r="25">
      <c r="A25" s="46" t="n"/>
      <c r="B25" s="59" t="n"/>
      <c r="C25" s="64" t="n"/>
      <c r="D25" s="65" t="n"/>
      <c r="E25" s="66" t="n"/>
      <c r="F25" s="65" t="n"/>
      <c r="G25" s="65" t="n"/>
      <c r="H25" s="65" t="n"/>
      <c r="I25" s="66" t="n"/>
      <c r="J25" s="65" t="n"/>
      <c r="K25" s="65" t="n"/>
      <c r="L25" s="65" t="n"/>
      <c r="M25" s="66" t="n"/>
      <c r="N25" s="65" t="n"/>
      <c r="O25" s="65" t="n"/>
      <c r="P25" s="65" t="n"/>
      <c r="Q25" s="66" t="n"/>
      <c r="R25" s="65" t="n"/>
      <c r="S25" s="67" t="n"/>
    </row>
    <row r="26">
      <c r="A26" s="46" t="inlineStr">
        <is>
          <t>基礎</t>
        </is>
      </c>
      <c r="B26" s="59">
        <f>F26+J26+N26+R26</f>
        <v/>
      </c>
      <c r="C26" s="64" t="inlineStr">
        <is>
          <t>㎡</t>
        </is>
      </c>
      <c r="D26" s="65" t="n"/>
      <c r="E26" s="66" t="n"/>
      <c r="F26" s="65">
        <f>D26-E26</f>
        <v/>
      </c>
      <c r="G26" s="65">
        <f>+C26</f>
        <v/>
      </c>
      <c r="H26" s="65" t="n"/>
      <c r="I26" s="66" t="n"/>
      <c r="J26" s="65">
        <f>H26-I26</f>
        <v/>
      </c>
      <c r="K26" s="65">
        <f>+C26</f>
        <v/>
      </c>
      <c r="L26" s="65" t="n"/>
      <c r="M26" s="66" t="n"/>
      <c r="N26" s="65">
        <f>L26-M26</f>
        <v/>
      </c>
      <c r="O26" s="65">
        <f>+C26</f>
        <v/>
      </c>
      <c r="P26" s="65" t="n"/>
      <c r="Q26" s="66" t="n"/>
      <c r="R26" s="65">
        <f>P26-Q26</f>
        <v/>
      </c>
      <c r="S26" s="67">
        <f>+C26</f>
        <v/>
      </c>
    </row>
    <row r="27">
      <c r="A27" s="46" t="inlineStr">
        <is>
          <t>出窓天端鉄部</t>
        </is>
      </c>
      <c r="B27" s="59">
        <f>F27+J27+N27+R27</f>
        <v/>
      </c>
      <c r="C27" s="64" t="inlineStr">
        <is>
          <t>ｍ</t>
        </is>
      </c>
      <c r="D27" s="65" t="n"/>
      <c r="E27" s="66" t="n"/>
      <c r="F27" s="65">
        <f>D27-E27</f>
        <v/>
      </c>
      <c r="G27" s="65">
        <f>+C27</f>
        <v/>
      </c>
      <c r="H27" s="65" t="n"/>
      <c r="I27" s="66" t="n"/>
      <c r="J27" s="65">
        <f>H27-I27</f>
        <v/>
      </c>
      <c r="K27" s="65">
        <f>+C27</f>
        <v/>
      </c>
      <c r="L27" s="65" t="n"/>
      <c r="M27" s="66" t="n"/>
      <c r="N27" s="65">
        <f>L27-M27</f>
        <v/>
      </c>
      <c r="O27" s="65">
        <f>+C27</f>
        <v/>
      </c>
      <c r="P27" s="65" t="n"/>
      <c r="Q27" s="66" t="n"/>
      <c r="R27" s="65">
        <f>P27-Q27</f>
        <v/>
      </c>
      <c r="S27" s="67">
        <f>+C27</f>
        <v/>
      </c>
    </row>
    <row r="28">
      <c r="A28" s="46" t="n"/>
      <c r="B28" s="59" t="n"/>
      <c r="C28" s="64" t="n"/>
      <c r="D28" s="65" t="n"/>
      <c r="E28" s="66" t="n"/>
      <c r="F28" s="65" t="n"/>
      <c r="G28" s="65" t="n"/>
      <c r="H28" s="65" t="n"/>
      <c r="I28" s="66" t="n"/>
      <c r="J28" s="65" t="n"/>
      <c r="K28" s="65" t="n"/>
      <c r="L28" s="65" t="n"/>
      <c r="M28" s="66" t="n"/>
      <c r="N28" s="65" t="n"/>
      <c r="O28" s="65" t="n"/>
      <c r="P28" s="65" t="n"/>
      <c r="Q28" s="66" t="n"/>
      <c r="R28" s="65" t="n"/>
      <c r="S28" s="67" t="n"/>
    </row>
    <row r="29">
      <c r="A29" s="46" t="inlineStr">
        <is>
          <t>付梁</t>
        </is>
      </c>
      <c r="B29" s="59">
        <f>F29+J29+N29+R29</f>
        <v/>
      </c>
      <c r="C29" s="64" t="inlineStr">
        <is>
          <t>ｍ</t>
        </is>
      </c>
      <c r="D29" s="65" t="n"/>
      <c r="E29" s="66" t="n"/>
      <c r="F29" s="65">
        <f>D29-E29</f>
        <v/>
      </c>
      <c r="G29" s="65">
        <f>+C29</f>
        <v/>
      </c>
      <c r="H29" s="65" t="n"/>
      <c r="I29" s="66" t="n"/>
      <c r="J29" s="65">
        <f>H29-I29</f>
        <v/>
      </c>
      <c r="K29" s="65">
        <f>+C29</f>
        <v/>
      </c>
      <c r="L29" s="65" t="n"/>
      <c r="M29" s="66" t="n"/>
      <c r="N29" s="65">
        <f>L29-M29</f>
        <v/>
      </c>
      <c r="O29" s="65">
        <f>+C29</f>
        <v/>
      </c>
      <c r="P29" s="65" t="n"/>
      <c r="Q29" s="66" t="n"/>
      <c r="R29" s="65">
        <f>P29-Q29</f>
        <v/>
      </c>
      <c r="S29" s="67">
        <f>+C29</f>
        <v/>
      </c>
    </row>
    <row r="30">
      <c r="A30" s="46" t="inlineStr">
        <is>
          <t>化粧窓枠</t>
        </is>
      </c>
      <c r="B30" s="59">
        <f>F30+J30+N30+R30</f>
        <v/>
      </c>
      <c r="C30" s="64" t="inlineStr">
        <is>
          <t>ｍ</t>
        </is>
      </c>
      <c r="D30" s="65" t="n"/>
      <c r="E30" s="66" t="n"/>
      <c r="F30" s="65">
        <f>D30-E30</f>
        <v/>
      </c>
      <c r="G30" s="65">
        <f>+C30</f>
        <v/>
      </c>
      <c r="H30" s="65" t="n"/>
      <c r="I30" s="66" t="n"/>
      <c r="J30" s="65">
        <f>H30-I30</f>
        <v/>
      </c>
      <c r="K30" s="65">
        <f>+C30</f>
        <v/>
      </c>
      <c r="L30" s="65" t="n"/>
      <c r="M30" s="66" t="n"/>
      <c r="N30" s="65">
        <f>L30-M30</f>
        <v/>
      </c>
      <c r="O30" s="65">
        <f>+C30</f>
        <v/>
      </c>
      <c r="P30" s="65" t="n"/>
      <c r="Q30" s="66" t="n"/>
      <c r="R30" s="65">
        <f>P30-Q30</f>
        <v/>
      </c>
      <c r="S30" s="67">
        <f>+C30</f>
        <v/>
      </c>
    </row>
    <row r="31">
      <c r="A31" s="46" t="n"/>
      <c r="B31" s="59" t="n"/>
      <c r="C31" s="64" t="n"/>
      <c r="D31" s="65" t="n"/>
      <c r="E31" s="66" t="n"/>
      <c r="F31" s="65" t="n"/>
      <c r="G31" s="65" t="n"/>
      <c r="H31" s="65" t="n"/>
      <c r="I31" s="66" t="n"/>
      <c r="J31" s="65" t="n"/>
      <c r="K31" s="65" t="n"/>
      <c r="L31" s="65" t="n"/>
      <c r="M31" s="66" t="n"/>
      <c r="N31" s="65" t="n"/>
      <c r="O31" s="65" t="n"/>
      <c r="P31" s="65" t="n"/>
      <c r="Q31" s="66" t="n"/>
      <c r="R31" s="65" t="n"/>
      <c r="S31" s="67" t="n"/>
    </row>
    <row r="32">
      <c r="A32" s="46" t="inlineStr">
        <is>
          <t>庇</t>
        </is>
      </c>
      <c r="B32" s="59">
        <f>F32+J32+N32+R32</f>
        <v/>
      </c>
      <c r="C32" s="64" t="inlineStr">
        <is>
          <t>ｍ</t>
        </is>
      </c>
      <c r="D32" s="65" t="n"/>
      <c r="E32" s="66" t="n"/>
      <c r="F32" s="65">
        <f>D32-E32</f>
        <v/>
      </c>
      <c r="G32" s="65">
        <f>+C32</f>
        <v/>
      </c>
      <c r="H32" s="65" t="n"/>
      <c r="I32" s="66" t="n"/>
      <c r="J32" s="65">
        <f>H32-I32</f>
        <v/>
      </c>
      <c r="K32" s="65">
        <f>+C32</f>
        <v/>
      </c>
      <c r="L32" s="65" t="n"/>
      <c r="M32" s="66" t="n"/>
      <c r="N32" s="65">
        <f>L32-M32</f>
        <v/>
      </c>
      <c r="O32" s="65">
        <f>+C32</f>
        <v/>
      </c>
      <c r="P32" s="65" t="n"/>
      <c r="Q32" s="66" t="n"/>
      <c r="R32" s="65">
        <f>P32-Q32</f>
        <v/>
      </c>
      <c r="S32" s="67">
        <f>+C32</f>
        <v/>
      </c>
    </row>
    <row r="33">
      <c r="A33" s="46" t="n"/>
      <c r="B33" s="59" t="n"/>
      <c r="C33" s="64" t="n"/>
      <c r="D33" s="65" t="n"/>
      <c r="E33" s="66" t="n"/>
      <c r="F33" s="65" t="n"/>
      <c r="G33" s="65" t="n"/>
      <c r="H33" s="65" t="n"/>
      <c r="I33" s="66" t="n"/>
      <c r="J33" s="65" t="n"/>
      <c r="K33" s="65" t="n"/>
      <c r="L33" s="65" t="n"/>
      <c r="M33" s="66" t="n"/>
      <c r="N33" s="65" t="n"/>
      <c r="O33" s="65" t="n"/>
      <c r="P33" s="65" t="n"/>
      <c r="Q33" s="66" t="n"/>
      <c r="R33" s="65" t="n"/>
      <c r="S33" s="67" t="n"/>
    </row>
    <row r="34">
      <c r="A34" s="46" t="inlineStr">
        <is>
          <t>雨樋</t>
        </is>
      </c>
      <c r="B34" s="59">
        <f>F34+J34+N34+R34</f>
        <v/>
      </c>
      <c r="C34" s="64" t="inlineStr">
        <is>
          <t>ｍ</t>
        </is>
      </c>
      <c r="D34" s="65" t="n"/>
      <c r="E34" s="66" t="n"/>
      <c r="F34" s="65">
        <f>D34-E34</f>
        <v/>
      </c>
      <c r="G34" s="65">
        <f>+C34</f>
        <v/>
      </c>
      <c r="H34" s="65" t="n"/>
      <c r="I34" s="66" t="n"/>
      <c r="J34" s="65">
        <f>H34-I34</f>
        <v/>
      </c>
      <c r="K34" s="65">
        <f>+C34</f>
        <v/>
      </c>
      <c r="L34" s="65" t="n"/>
      <c r="M34" s="66" t="n"/>
      <c r="N34" s="65">
        <f>L34-M34</f>
        <v/>
      </c>
      <c r="O34" s="65">
        <f>+C34</f>
        <v/>
      </c>
      <c r="P34" s="65" t="n"/>
      <c r="Q34" s="66" t="n"/>
      <c r="R34" s="65">
        <f>P34-Q34</f>
        <v/>
      </c>
      <c r="S34" s="67">
        <f>+C34</f>
        <v/>
      </c>
    </row>
    <row r="35">
      <c r="A35" s="46" t="inlineStr">
        <is>
          <t>霧除</t>
        </is>
      </c>
      <c r="B35" s="59">
        <f>F35+J35+N35+R35</f>
        <v/>
      </c>
      <c r="C35" s="64" t="inlineStr">
        <is>
          <t>ｍ</t>
        </is>
      </c>
      <c r="D35" s="65" t="n"/>
      <c r="E35" s="66" t="n"/>
      <c r="F35" s="65">
        <f>D35-E35</f>
        <v/>
      </c>
      <c r="G35" s="65">
        <f>+C35</f>
        <v/>
      </c>
      <c r="H35" s="65" t="n"/>
      <c r="I35" s="66" t="n"/>
      <c r="J35" s="65">
        <f>H35-I35</f>
        <v/>
      </c>
      <c r="K35" s="65">
        <f>+C35</f>
        <v/>
      </c>
      <c r="L35" s="65" t="n"/>
      <c r="M35" s="66" t="n"/>
      <c r="N35" s="65">
        <f>L35-M35</f>
        <v/>
      </c>
      <c r="O35" s="65">
        <f>+C35</f>
        <v/>
      </c>
      <c r="P35" s="65" t="n"/>
      <c r="Q35" s="66" t="n"/>
      <c r="R35" s="65">
        <f>P35-Q35</f>
        <v/>
      </c>
      <c r="S35" s="67">
        <f>+C35</f>
        <v/>
      </c>
    </row>
    <row r="36">
      <c r="A36" s="46" t="n"/>
      <c r="B36" s="59" t="n"/>
      <c r="C36" s="64" t="n"/>
      <c r="D36" s="65" t="n"/>
      <c r="E36" s="66" t="n"/>
      <c r="F36" s="65" t="n"/>
      <c r="G36" s="65" t="n"/>
      <c r="H36" s="65" t="n"/>
      <c r="I36" s="66" t="n"/>
      <c r="J36" s="65" t="n"/>
      <c r="K36" s="65" t="n"/>
      <c r="L36" s="65" t="n"/>
      <c r="M36" s="66" t="n"/>
      <c r="N36" s="65" t="n"/>
      <c r="O36" s="65" t="n"/>
      <c r="P36" s="65" t="n"/>
      <c r="Q36" s="66" t="n"/>
      <c r="R36" s="65" t="n"/>
      <c r="S36" s="67" t="n"/>
    </row>
    <row r="37">
      <c r="A37" s="46" t="inlineStr">
        <is>
          <t>雨戸・戸袋（大）</t>
        </is>
      </c>
      <c r="B37" s="59">
        <f>F37+J37+N37+R37</f>
        <v/>
      </c>
      <c r="C37" s="64" t="inlineStr">
        <is>
          <t>枚</t>
        </is>
      </c>
      <c r="D37" s="65" t="n"/>
      <c r="E37" s="66" t="n"/>
      <c r="F37" s="65">
        <f>D37-E37</f>
        <v/>
      </c>
      <c r="G37" s="65">
        <f>+C37</f>
        <v/>
      </c>
      <c r="H37" s="65" t="n"/>
      <c r="I37" s="66" t="n"/>
      <c r="J37" s="65">
        <f>H37-I37</f>
        <v/>
      </c>
      <c r="K37" s="65">
        <f>+C37</f>
        <v/>
      </c>
      <c r="L37" s="65" t="n"/>
      <c r="M37" s="66" t="n"/>
      <c r="N37" s="65">
        <f>L37-M37</f>
        <v/>
      </c>
      <c r="O37" s="65">
        <f>+C37</f>
        <v/>
      </c>
      <c r="P37" s="65" t="n"/>
      <c r="Q37" s="66" t="n"/>
      <c r="R37" s="65">
        <f>P37-Q37</f>
        <v/>
      </c>
      <c r="S37" s="67">
        <f>+C37</f>
        <v/>
      </c>
    </row>
    <row r="38">
      <c r="A38" s="46" t="inlineStr">
        <is>
          <t>雨戸・戸袋（小）</t>
        </is>
      </c>
      <c r="B38" s="59">
        <f>F38+J38+N38+R38</f>
        <v/>
      </c>
      <c r="C38" s="64" t="inlineStr">
        <is>
          <t>枚</t>
        </is>
      </c>
      <c r="D38" s="65" t="n"/>
      <c r="E38" s="66" t="n"/>
      <c r="F38" s="65">
        <f>D38-E38</f>
        <v/>
      </c>
      <c r="G38" s="65">
        <f>+C38</f>
        <v/>
      </c>
      <c r="H38" s="65" t="n"/>
      <c r="I38" s="66" t="n"/>
      <c r="J38" s="65">
        <f>H38-I38</f>
        <v/>
      </c>
      <c r="K38" s="65">
        <f>+C38</f>
        <v/>
      </c>
      <c r="L38" s="65" t="n"/>
      <c r="M38" s="66" t="n"/>
      <c r="N38" s="65">
        <f>L38-M38</f>
        <v/>
      </c>
      <c r="O38" s="65">
        <f>+C38</f>
        <v/>
      </c>
      <c r="P38" s="65" t="n"/>
      <c r="Q38" s="66" t="n"/>
      <c r="R38" s="65">
        <f>P38-Q38</f>
        <v/>
      </c>
      <c r="S38" s="67">
        <f>+C38</f>
        <v/>
      </c>
    </row>
    <row r="39">
      <c r="A39" s="46" t="n"/>
      <c r="B39" s="59" t="n"/>
      <c r="C39" s="15" t="n"/>
      <c r="D39" s="4" t="n"/>
      <c r="E39" s="20" t="n"/>
      <c r="F39" s="4" t="n"/>
      <c r="G39" s="65" t="n"/>
      <c r="H39" s="4" t="n"/>
      <c r="I39" s="20" t="n"/>
      <c r="J39" s="4" t="n"/>
      <c r="K39" s="65" t="n"/>
      <c r="L39" s="4" t="n"/>
      <c r="M39" s="20" t="n"/>
      <c r="N39" s="4" t="n"/>
      <c r="O39" s="65" t="n"/>
      <c r="P39" s="4" t="n"/>
      <c r="Q39" s="20" t="n"/>
      <c r="R39" s="4" t="n"/>
      <c r="S39" s="67" t="n"/>
    </row>
    <row r="40">
      <c r="A40" s="48" t="inlineStr">
        <is>
          <t>開口部廻りｼｰﾙ</t>
        </is>
      </c>
      <c r="B40" s="73">
        <f>F40+J40+N40+R40</f>
        <v/>
      </c>
      <c r="C40" s="74" t="inlineStr">
        <is>
          <t>ｍ</t>
        </is>
      </c>
      <c r="D40" s="75" t="n"/>
      <c r="E40" s="29" t="n"/>
      <c r="F40" s="75">
        <f>D40-E40</f>
        <v/>
      </c>
      <c r="G40" s="75">
        <f>+C40</f>
        <v/>
      </c>
      <c r="H40" s="75" t="n"/>
      <c r="I40" s="76" t="n"/>
      <c r="J40" s="75">
        <f>H40-I40</f>
        <v/>
      </c>
      <c r="K40" s="75">
        <f>+C40</f>
        <v/>
      </c>
      <c r="L40" s="75" t="n"/>
      <c r="M40" s="76" t="n"/>
      <c r="N40" s="75">
        <f>L40-M40</f>
        <v/>
      </c>
      <c r="O40" s="75">
        <f>+C40</f>
        <v/>
      </c>
      <c r="P40" s="75" t="n"/>
      <c r="Q40" s="76" t="n"/>
      <c r="R40" s="75">
        <f>P40-Q40</f>
        <v/>
      </c>
      <c r="S40" s="77">
        <f>+C40</f>
        <v/>
      </c>
    </row>
    <row r="41">
      <c r="A41" s="49" t="inlineStr">
        <is>
          <t>目地ｼｰﾙ</t>
        </is>
      </c>
      <c r="B41" s="78">
        <f>F41+J41+N41+R41</f>
        <v/>
      </c>
      <c r="C41" s="79" t="inlineStr">
        <is>
          <t>ｍ</t>
        </is>
      </c>
      <c r="D41" s="80" t="n"/>
      <c r="E41" s="21" t="n"/>
      <c r="F41" s="80">
        <f>D41-E41</f>
        <v/>
      </c>
      <c r="G41" s="80">
        <f>+C41</f>
        <v/>
      </c>
      <c r="H41" s="80" t="n"/>
      <c r="I41" s="81" t="n"/>
      <c r="J41" s="80">
        <f>H41-I41</f>
        <v/>
      </c>
      <c r="K41" s="80">
        <f>+C41</f>
        <v/>
      </c>
      <c r="L41" s="80" t="n"/>
      <c r="M41" s="81" t="n"/>
      <c r="N41" s="80">
        <f>L41-M41</f>
        <v/>
      </c>
      <c r="O41" s="80">
        <f>+C41</f>
        <v/>
      </c>
      <c r="P41" s="80" t="n"/>
      <c r="Q41" s="81" t="n"/>
      <c r="R41" s="80">
        <f>P41-Q41</f>
        <v/>
      </c>
      <c r="S41" s="82">
        <f>+C41</f>
        <v/>
      </c>
    </row>
    <row r="42">
      <c r="A42" s="42" t="n"/>
      <c r="T42" s="0" t="inlineStr">
        <is>
          <t>☆屋根勾配6寸以上の場合は屋根足場として屋根の面積を測る、6寸以上の面だけを測ればよし</t>
        </is>
      </c>
    </row>
    <row r="43">
      <c r="B43" s="1" t="n"/>
      <c r="C43" s="83" t="n"/>
      <c r="T43" s="0" t="inlineStr">
        <is>
          <t>☆10年点検より上の年数の時は開口ｼｰﾙも測る</t>
        </is>
      </c>
    </row>
    <row r="44">
      <c r="C44" s="0" t="n"/>
      <c r="T44" s="0" t="inlineStr">
        <is>
          <t>☆ｻｲﾃﾞｨﾝｸﾞの時は軒天廻りのｼｰﾙも測る</t>
        </is>
      </c>
    </row>
    <row r="45">
      <c r="C45" s="0" t="n"/>
    </row>
    <row r="46">
      <c r="A46" s="0" t="n"/>
    </row>
    <row r="47">
      <c r="A47" s="0" t="n"/>
    </row>
    <row r="48">
      <c r="A48" s="0" t="n"/>
    </row>
    <row r="49">
      <c r="A49" s="0" t="n"/>
    </row>
    <row r="50">
      <c r="A50" s="0" t="n"/>
    </row>
    <row r="51">
      <c r="A51" s="0" t="n"/>
    </row>
    <row r="52">
      <c r="A52" s="0" t="n"/>
    </row>
    <row r="53">
      <c r="A53" s="0" t="n"/>
    </row>
    <row r="54">
      <c r="A54" s="50" t="n"/>
    </row>
    <row r="55">
      <c r="A55" s="50" t="n"/>
    </row>
    <row r="56">
      <c r="A56" s="0" t="n"/>
    </row>
    <row r="57">
      <c r="A57" s="0" t="n"/>
    </row>
  </sheetData>
  <mergeCells count="1">
    <mergeCell ref="K2:M2"/>
  </mergeCells>
  <pageMargins left="0.7" right="0.7" top="0.75" bottom="0.75" header="0.3" footer="0.3"/>
  <pageSetup orientation="landscape" paperSize="9" scale="8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</dc:creator>
  <dcterms:created xmlns:dcterms="http://purl.org/dc/terms/" xmlns:xsi="http://www.w3.org/2001/XMLSchema-instance" xsi:type="dcterms:W3CDTF">2014-10-17T05:22:09Z</dcterms:created>
  <dcterms:modified xmlns:dcterms="http://purl.org/dc/terms/" xmlns:xsi="http://www.w3.org/2001/XMLSchema-instance" xsi:type="dcterms:W3CDTF">2026-06-28T05:15:41Z</dcterms:modified>
  <cp:lastModifiedBy>船隈 文江</cp:lastModifiedBy>
  <cp:lastPrinted>2018-11-29T00:57:09Z</cp:lastPrinted>
</cp:coreProperties>
</file>